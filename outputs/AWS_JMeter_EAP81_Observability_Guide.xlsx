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案内" sheetId="1" r:id="rId1"/>
    <sheet name="01_図解" sheetId="2" r:id="rId2"/>
    <sheet name="02_基礎" sheetId="3" r:id="rId3"/>
    <sheet name="03_歴史" sheetId="4" r:id="rId4"/>
    <sheet name="04_サービス" sheetId="5" r:id="rId5"/>
    <sheet name="05_入口指標" sheetId="6" r:id="rId6"/>
    <sheet name="06_ECS指標" sheetId="7" r:id="rId7"/>
    <sheet name="07_DB依存指標" sheetId="8" r:id="rId8"/>
    <sheet name="08_JVM指標" sheetId="9" r:id="rId9"/>
    <sheet name="09_メモリ深掘り" sheetId="10" r:id="rId10"/>
    <sheet name="10_EAP内部" sheetId="11" r:id="rId11"/>
    <sheet name="11_収集設定" sheetId="12" r:id="rId12"/>
    <sheet name="12_設定例" sheetId="13" r:id="rId13"/>
    <sheet name="13_トレース" sheetId="14" r:id="rId14"/>
    <sheet name="14_JMeter" sheetId="15" r:id="rId15"/>
    <sheet name="15_テスト手順" sheetId="16" r:id="rId16"/>
    <sheet name="16_障害切分" sheetId="17" r:id="rId17"/>
    <sheet name="17_ダッシュボード" sheetId="18" r:id="rId18"/>
    <sheet name="18_例と計算" sheetId="19" r:id="rId19"/>
    <sheet name="19_注意と費用" sheetId="20" r:id="rId20"/>
    <sheet name="20_FAQ" sheetId="21" r:id="rId21"/>
    <sheet name="21_実行チェック" sheetId="22" r:id="rId22"/>
    <sheet name="22_出典" sheetId="23" r:id="rId23"/>
  </sheets>
  <definedNames>
    <definedName name="_xlnm._FilterDatabase" localSheetId="2" hidden="1">'02_基礎'!$A$5:$E$21</definedName>
    <definedName name="_xlnm._FilterDatabase" localSheetId="3" hidden="1">'03_歴史'!$A$5:$E$26</definedName>
    <definedName name="_xlnm._FilterDatabase" localSheetId="4" hidden="1">'04_サービス'!$A$5:$E$20</definedName>
    <definedName name="_xlnm._FilterDatabase" localSheetId="5" hidden="1">'05_入口指標'!$A$5:$F$21</definedName>
    <definedName name="_xlnm._FilterDatabase" localSheetId="6" hidden="1">'06_ECS指標'!$A$5:$F$19</definedName>
    <definedName name="_xlnm._FilterDatabase" localSheetId="7" hidden="1">'07_DB依存指標'!$A$5:$F$23</definedName>
    <definedName name="_xlnm._FilterDatabase" localSheetId="8" hidden="1">'08_JVM指標'!$A$5:$F$23</definedName>
    <definedName name="_xlnm._FilterDatabase" localSheetId="9" hidden="1">'09_メモリ深掘り'!$A$5:$E$24</definedName>
    <definedName name="_xlnm._FilterDatabase" localSheetId="10" hidden="1">'10_EAP内部'!$A$5:$E$17</definedName>
    <definedName name="_xlnm._FilterDatabase" localSheetId="11" hidden="1">'11_収集設定'!$A$5:$E$20</definedName>
    <definedName name="_xlnm._FilterDatabase" localSheetId="13" hidden="1">'13_トレース'!$A$5:$E$17</definedName>
    <definedName name="_xlnm._FilterDatabase" localSheetId="14" hidden="1">'14_JMeter'!$A$5:$E$18</definedName>
    <definedName name="_xlnm._FilterDatabase" localSheetId="15" hidden="1">'15_テスト手順'!$A$5:$E$21</definedName>
    <definedName name="_xlnm._FilterDatabase" localSheetId="16" hidden="1">'16_障害切分'!$A$5:$E$19</definedName>
    <definedName name="_xlnm._FilterDatabase" localSheetId="17" hidden="1">'17_ダッシュボード'!$A$5:$E$18</definedName>
    <definedName name="_xlnm._FilterDatabase" localSheetId="19" hidden="1">'19_注意と費用'!$A$5:$E$15</definedName>
    <definedName name="_xlnm._FilterDatabase" localSheetId="20" hidden="1">'20_FAQ'!$A$5:$E$20</definedName>
    <definedName name="_xlnm._FilterDatabase" localSheetId="21" hidden="1">'21_実行チェック'!$A$5:$E$29</definedName>
    <definedName name="_xlnm._FilterDatabase" localSheetId="22" hidden="1">'22_出典'!$A$5:$E$88</definedName>
    <definedName name="_xlnm.Print_Area" localSheetId="0">'00_案内'!$A$1:$C$36</definedName>
    <definedName name="_xlnm.Print_Area" localSheetId="1">'01_図解'!$A$1:$F$108</definedName>
    <definedName name="_xlnm.Print_Area" localSheetId="2">'02_基礎'!$A$1:$E$21</definedName>
    <definedName name="_xlnm.Print_Area" localSheetId="3">'03_歴史'!$A$1:$E$26</definedName>
    <definedName name="_xlnm.Print_Area" localSheetId="4">'04_サービス'!$A$1:$E$20</definedName>
    <definedName name="_xlnm.Print_Area" localSheetId="5">'05_入口指標'!$A$1:$F$21</definedName>
    <definedName name="_xlnm.Print_Area" localSheetId="6">'06_ECS指標'!$A$1:$F$19</definedName>
    <definedName name="_xlnm.Print_Area" localSheetId="7">'07_DB依存指標'!$A$1:$F$23</definedName>
    <definedName name="_xlnm.Print_Area" localSheetId="8">'08_JVM指標'!$A$1:$F$23</definedName>
    <definedName name="_xlnm.Print_Area" localSheetId="9">'09_メモリ深掘り'!$A$1:$E$24</definedName>
    <definedName name="_xlnm.Print_Area" localSheetId="10">'10_EAP内部'!$A$1:$E$17</definedName>
    <definedName name="_xlnm.Print_Area" localSheetId="11">'11_収集設定'!$A$1:$E$20</definedName>
    <definedName name="_xlnm.Print_Area" localSheetId="12">'12_設定例'!$A$1:$E$122</definedName>
    <definedName name="_xlnm.Print_Area" localSheetId="13">'13_トレース'!$A$1:$E$17</definedName>
    <definedName name="_xlnm.Print_Area" localSheetId="14">'14_JMeter'!$A$1:$E$18</definedName>
    <definedName name="_xlnm.Print_Area" localSheetId="15">'15_テスト手順'!$A$1:$E$21</definedName>
    <definedName name="_xlnm.Print_Area" localSheetId="16">'16_障害切分'!$A$1:$E$19</definedName>
    <definedName name="_xlnm.Print_Area" localSheetId="17">'17_ダッシュボード'!$A$1:$E$18</definedName>
    <definedName name="_xlnm.Print_Area" localSheetId="18">'18_例と計算'!$A$1:$G$50</definedName>
    <definedName name="_xlnm.Print_Area" localSheetId="19">'19_注意と費用'!$A$1:$E$15</definedName>
    <definedName name="_xlnm.Print_Area" localSheetId="20">'20_FAQ'!$A$1:$E$20</definedName>
    <definedName name="_xlnm.Print_Area" localSheetId="21">'21_実行チェック'!$A$1:$E$29</definedName>
    <definedName name="_xlnm.Print_Area" localSheetId="22">'22_出典'!$A$1:$E$88</definedName>
    <definedName name="_xlnm.Print_Titles" localSheetId="0">'00_案内'!$1:$5</definedName>
    <definedName name="_xlnm.Print_Titles" localSheetId="1">'01_図解'!$1:$5</definedName>
    <definedName name="_xlnm.Print_Titles" localSheetId="2">'02_基礎'!$1:$5</definedName>
    <definedName name="_xlnm.Print_Titles" localSheetId="3">'03_歴史'!$1:$5</definedName>
    <definedName name="_xlnm.Print_Titles" localSheetId="4">'04_サービス'!$1:$5</definedName>
    <definedName name="_xlnm.Print_Titles" localSheetId="5">'05_入口指標'!$1:$5</definedName>
    <definedName name="_xlnm.Print_Titles" localSheetId="6">'06_ECS指標'!$1:$5</definedName>
    <definedName name="_xlnm.Print_Titles" localSheetId="7">'07_DB依存指標'!$1:$5</definedName>
    <definedName name="_xlnm.Print_Titles" localSheetId="8">'08_JVM指標'!$1:$5</definedName>
    <definedName name="_xlnm.Print_Titles" localSheetId="9">'09_メモリ深掘り'!$1:$5</definedName>
    <definedName name="_xlnm.Print_Titles" localSheetId="10">'10_EAP内部'!$1:$5</definedName>
    <definedName name="_xlnm.Print_Titles" localSheetId="11">'11_収集設定'!$1:$5</definedName>
    <definedName name="_xlnm.Print_Titles" localSheetId="12">'12_設定例'!$1:$5</definedName>
    <definedName name="_xlnm.Print_Titles" localSheetId="13">'13_トレース'!$1:$5</definedName>
    <definedName name="_xlnm.Print_Titles" localSheetId="14">'14_JMeter'!$1:$5</definedName>
    <definedName name="_xlnm.Print_Titles" localSheetId="15">'15_テスト手順'!$1:$5</definedName>
    <definedName name="_xlnm.Print_Titles" localSheetId="16">'16_障害切分'!$1:$5</definedName>
    <definedName name="_xlnm.Print_Titles" localSheetId="17">'17_ダッシュボード'!$1:$5</definedName>
    <definedName name="_xlnm.Print_Titles" localSheetId="18">'18_例と計算'!$1:$5</definedName>
    <definedName name="_xlnm.Print_Titles" localSheetId="19">'19_注意と費用'!$1:$5</definedName>
    <definedName name="_xlnm.Print_Titles" localSheetId="20">'20_FAQ'!$1:$5</definedName>
    <definedName name="_xlnm.Print_Titles" localSheetId="21">'21_実行チェック'!$1:$5</definedName>
    <definedName name="_xlnm.Print_Titles" localSheetId="22">'22_出典'!$1:$5</definedName>
  </definedNames>
  <calcPr calcId="124519" fullCalcOnLoad="1"/>
</workbook>
</file>

<file path=xl/comments1.xml><?xml version="1.0" encoding="utf-8"?>
<comments xmlns="http://schemas.openxmlformats.org/spreadsheetml/2006/main">
  <authors>
    <author>公式資料</author>
  </authors>
  <commentList>
    <comment ref="C6" authorId="0">
      <text>
        <r>
          <rPr>
            <sz val="10"/>
            <color indexed="81"/>
            <rFont val="Meiryo UI"/>
            <family val="2"/>
          </rPr>
          <t>S45 EAP 8のサポート構成
https://access.redhat.com/articles/6961381
S46 EAP 8.1の対応構成・コンテナ
https://docs.redhat.com/en/documentation/red_hat_jboss_enterprise_application_platform/8.1/html/release_notes_for_red_hat_jboss_enterprise_application_platform_8.1/supported-configurations-rn_assembly-release-notes</t>
        </r>
      </text>
    </comment>
    <comment ref="C7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
S05 ECS Enhanced Container Insights指標
https://docs.aws.amazon.com/AmazonCloudWatch/latest/monitoring/Container-Insights-enhanced-observability-metrics-ECS.html
S06 ECSのCloudWatch監視
https://docs.aws.amazon.com/AmazonECS/latest/developerguide/cloudwatch-metrics.html
S53 Java 21 MemoryUsage
https://docs.oracle.com/en/java/javase/21/docs/api/java.management/java/lang/management/MemoryUsage.html</t>
        </r>
      </text>
    </comment>
    <comment ref="C8" authorId="0">
      <text>
        <r>
          <rPr>
            <sz val="10"/>
            <color indexed="81"/>
            <rFont val="Meiryo UI"/>
            <family val="2"/>
          </rPr>
          <t>S05 ECS Enhanced Container Insights指標
https://docs.aws.amazon.com/AmazonCloudWatch/latest/monitoring/Container-Insights-enhanced-observability-metrics-ECS.html
S53 Java 21 MemoryUsage
https://docs.oracle.com/en/java/javase/21/docs/api/java.management/java/lang/management/MemoryUsage.html
S54 Java 21 MemoryMXBean
https://docs.oracle.com/en/java/javase/21/docs/api/java.management/java/lang/management/MemoryMXBean.html</t>
        </r>
      </text>
    </comment>
    <comment ref="C9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
S19 CloudWatch Database Insights
https://docs.aws.amazon.com/AmazonCloudWatch/latest/monitoring/Database-Insights.html
S34 CloudWatch Logs Insights
https://docs.aws.amazon.com/AmazonCloudWatch/latest/logs/AnalyzingLogData.html
S36 CloudWatch Transaction Search
https://docs.aws.amazon.com/AmazonCloudWatch/latest/monitoring/CloudWatch-Transaction-Search.html
S59 JMeter用語集
https://jmeter.apache.org/usermanual/glossary.html</t>
        </r>
      </text>
    </comment>
    <comment ref="C11" authorId="0">
      <text>
        <r>
          <rPr>
            <sz val="10"/>
            <color indexed="81"/>
            <rFont val="Meiryo UI"/>
            <family val="2"/>
          </rPr>
          <t>S04 Application Signals対応システム
https://docs.aws.amazon.com/AmazonCloudWatch/latest/monitoring/CloudWatch-Application-Signals-supportmatrix.html
S40 OpenTelemetry Java対応ライブラリ
https://github.com/open-telemetry/opentelemetry-java-instrumentation/blob/main/docs/supported-libraries.md
S45 EAP 8のサポート構成
https://access.redhat.com/articles/6961381
S46 EAP 8.1の対応構成・コンテナ
https://docs.redhat.com/en/documentation/red_hat_jboss_enterprise_application_platform/8.1/html/release_notes_for_red_hat_jboss_enterprise_application_platform_8.1/supported-configurations-rn_assembly-release-notes</t>
        </r>
      </text>
    </comment>
  </commentList>
</comments>
</file>

<file path=xl/comments2.xml><?xml version="1.0" encoding="utf-8"?>
<comments xmlns="http://schemas.openxmlformats.org/spreadsheetml/2006/main">
  <authors>
    <author>公式資料</author>
  </authors>
  <commentList>
    <comment ref="F36" authorId="0">
      <text>
        <r>
          <rPr>
            <sz val="10"/>
            <color indexed="81"/>
            <rFont val="Meiryo UI"/>
            <family val="2"/>
          </rPr>
          <t>S02 Application SignalsをECSで有効化
https://docs.aws.amazon.com/AmazonCloudWatch/latest/monitoring/CloudWatch-Application-Signals-Enable-ECSMain.html
S03 Application Signalsのsidecar設定
https://docs.aws.amazon.com/AmazonCloudWatch/latest/monitoring/CloudWatch-Application-Signals-ECS-Sidecar.html
S05 ECS Enhanced Container Insights指標
https://docs.aws.amazon.com/AmazonCloudWatch/latest/monitoring/Container-Insights-enhanced-observability-metrics-ECS.html
S19 CloudWatch Database Insights
https://docs.aws.amazon.com/AmazonCloudWatch/latest/monitoring/Database-Insights.html
S36 CloudWatch Transaction Search
https://docs.aws.amazon.com/AmazonCloudWatch/latest/monitoring/CloudWatch-Transaction-Search.html</t>
        </r>
      </text>
    </comment>
    <comment ref="F71" authorId="0">
      <text>
        <r>
          <rPr>
            <sz val="10"/>
            <color indexed="81"/>
            <rFont val="Meiryo UI"/>
            <family val="2"/>
          </rPr>
          <t>S05 ECS Enhanced Container Insights指標
https://docs.aws.amazon.com/AmazonCloudWatch/latest/monitoring/Container-Insights-enhanced-observability-metrics-ECS.html
S53 Java 21 MemoryUsage
https://docs.oracle.com/en/java/javase/21/docs/api/java.management/java/lang/management/MemoryUsage.html
S54 Java 21 MemoryMXBean
https://docs.oracle.com/en/java/javase/21/docs/api/java.management/java/lang/management/MemoryMXBean.html
S57 Java 21 Native Memory Tracking
https://docs.oracle.com/en/java/javase/21/vm/native-memory-tracking.html</t>
        </r>
      </text>
    </comment>
    <comment ref="F106" authorId="0">
      <text>
        <r>
          <rPr>
            <sz val="10"/>
            <color indexed="81"/>
            <rFont val="Meiryo UI"/>
            <family val="2"/>
          </rPr>
          <t>S10 ALBのCloudWatch指標
https://docs.aws.amazon.com/elasticloadbalancing/latest/application/load-balancer-cloudwatch-metrics.html
S11 ALBアクセスログ
https://docs.aws.amazon.com/elasticloadbalancing/latest/application/load-balancer-access-logs.html
S36 CloudWatch Transaction Search
https://docs.aws.amazon.com/AmazonCloudWatch/latest/monitoring/CloudWatch-Transaction-Search.html
S59 JMeter用語集
https://jmeter.apache.org/usermanual/glossary.html</t>
        </r>
      </text>
    </comment>
  </commentList>
</comments>
</file>

<file path=xl/comments3.xml><?xml version="1.0" encoding="utf-8"?>
<comments xmlns="http://schemas.openxmlformats.org/spreadsheetml/2006/main">
  <authors>
    <author>公式資料</author>
  </authors>
  <commentList>
    <comment ref="E7" authorId="0">
      <text>
        <r>
          <rPr>
            <sz val="10"/>
            <color indexed="81"/>
            <rFont val="Meiryo UI"/>
            <family val="2"/>
          </rPr>
          <t>S33 CloudWatchのメトリクス概念
https://docs.aws.amazon.com/AmazonCloudWatch/latest/monitoring/cloudwatch_concepts.html</t>
        </r>
      </text>
    </comment>
    <comment ref="E8" authorId="0">
      <text>
        <r>
          <rPr>
            <sz val="10"/>
            <color indexed="81"/>
            <rFont val="Meiryo UI"/>
            <family val="2"/>
          </rPr>
          <t>S34 CloudWatch Logs Insights
https://docs.aws.amazon.com/AmazonCloudWatch/latest/logs/AnalyzingLogData.html
S62 ECSのawslogs
https://docs.aws.amazon.com/AmazonECS/latest/developerguide/using_awslogs.html</t>
        </r>
      </text>
    </comment>
    <comment ref="E9" authorId="0">
      <text>
        <r>
          <rPr>
            <sz val="10"/>
            <color indexed="81"/>
            <rFont val="Meiryo UI"/>
            <family val="2"/>
          </rPr>
          <t>S36 CloudWatch Transaction Search
https://docs.aws.amazon.com/AmazonCloudWatch/latest/monitoring/CloudWatch-Transaction-Search.html
S40 OpenTelemetry Java対応ライブラリ
https://github.com/open-telemetry/opentelemetry-java-instrumentation/blob/main/docs/supported-libraries.md</t>
        </r>
      </text>
    </comment>
    <comment ref="E10" authorId="0">
      <text>
        <r>
          <rPr>
            <sz val="10"/>
            <color indexed="81"/>
            <rFont val="Meiryo UI"/>
            <family val="2"/>
          </rPr>
          <t>S56 Java 21 jcmd
https://docs.oracle.com/en/java/javase/21/docs/specs/man/jcmd.html
S58 Red Hat build of OpenJDK 21の配布
https://docs.redhat.com/en/documentation/red_hat_build_of_openjdk/21/html/getting_started_with_red_hat_build_of_openjdk_21/openjdk-distribution-selection</t>
        </r>
      </text>
    </comment>
    <comment ref="E11" authorId="0">
      <text>
        <r>
          <rPr>
            <sz val="10"/>
            <color indexed="81"/>
            <rFont val="Meiryo UI"/>
            <family val="2"/>
          </rPr>
          <t>S10 ALBのCloudWatch指標
https://docs.aws.amazon.com/elasticloadbalancing/latest/application/load-balancer-cloudwatch-metrics.html
S59 JMeter用語集
https://jmeter.apache.org/usermanual/glossary.html</t>
        </r>
      </text>
    </comment>
    <comment ref="E12" authorId="0">
      <text>
        <r>
          <rPr>
            <sz val="10"/>
            <color indexed="81"/>
            <rFont val="Meiryo UI"/>
            <family val="2"/>
          </rPr>
          <t>S59 JMeter用語集
https://jmeter.apache.org/usermanual/glossary.html</t>
        </r>
      </text>
    </comment>
    <comment ref="E13" authorId="0">
      <text>
        <r>
          <rPr>
            <sz val="10"/>
            <color indexed="81"/>
            <rFont val="Meiryo UI"/>
            <family val="2"/>
          </rPr>
          <t>S33 CloudWatchのメトリクス概念
https://docs.aws.amazon.com/AmazonCloudWatch/latest/monitoring/cloudwatch_concepts.html</t>
        </r>
      </text>
    </comment>
    <comment ref="E14" authorId="0">
      <text>
        <r>
          <rPr>
            <sz val="10"/>
            <color indexed="81"/>
            <rFont val="Meiryo UI"/>
            <family val="2"/>
          </rPr>
          <t>S49 EAP 8.1の接続プール
https://docs.redhat.com/en/documentation/red_hat_jboss_enterprise_application_platform/8.1/html/performance_tuning_for_red_hat_jboss_enterprise_application_platform/assembly-datasource-resource-adapter-tuning_performance-tuning-guide
S50 EAP 8.1の管理属性リファレンス
https://docs.redhat.com/en/documentation/red_hat_jboss_enterprise_application_platform/8.1/html/configuration_guide/reference_material</t>
        </r>
      </text>
    </comment>
    <comment ref="E15" authorId="0">
      <text>
        <r>
          <rPr>
            <sz val="10"/>
            <color indexed="81"/>
            <rFont val="Meiryo UI"/>
            <family val="2"/>
          </rPr>
          <t>S17 RDSのCloudWatch指標
https://docs.aws.amazon.com/AmazonRDS/latest/UserGuide/rds-metrics.html
S33 CloudWatchのメトリクス概念
https://docs.aws.amazon.com/AmazonCloudWatch/latest/monitoring/cloudwatch_concepts.html</t>
        </r>
      </text>
    </comment>
    <comment ref="E16" authorId="0">
      <text>
        <r>
          <rPr>
            <sz val="10"/>
            <color indexed="81"/>
            <rFont val="Meiryo UI"/>
            <family val="2"/>
          </rPr>
          <t>S05 ECS Enhanced Container Insights指標
https://docs.aws.amazon.com/AmazonCloudWatch/latest/monitoring/Container-Insights-enhanced-observability-metrics-ECS.html
S33 CloudWatchのメトリクス概念
https://docs.aws.amazon.com/AmazonCloudWatch/latest/monitoring/cloudwatch_concepts.html</t>
        </r>
      </text>
    </comment>
    <comment ref="E17" authorId="0">
      <text>
        <r>
          <rPr>
            <sz val="10"/>
            <color indexed="81"/>
            <rFont val="Meiryo UI"/>
            <family val="2"/>
          </rPr>
          <t>S10 ALBのCloudWatch指標
https://docs.aws.amazon.com/elasticloadbalancing/latest/application/load-balancer-cloudwatch-metrics.html
S33 CloudWatchのメトリクス概念
https://docs.aws.amazon.com/AmazonCloudWatch/latest/monitoring/cloudwatch_concepts.html</t>
        </r>
      </text>
    </comment>
    <comment ref="E18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
S41 CloudWatch agentのJMX収集
https://docs.aws.amazon.com/AmazonCloudWatch/latest/monitoring/CloudWatch-Agent-JMX-metrics.html</t>
        </r>
      </text>
    </comment>
    <comment ref="E19" authorId="0">
      <text>
        <r>
          <rPr>
            <sz val="10"/>
            <color indexed="81"/>
            <rFont val="Meiryo UI"/>
            <family val="2"/>
          </rPr>
          <t>S07 ECSサービス使用率と高解像度指標
https://docs.aws.amazon.com/AmazonECS/latest/developerguide/service_utilization.html
S33 CloudWatchのメトリクス概念
https://docs.aws.amazon.com/AmazonCloudWatch/latest/monitoring/cloudwatch_concepts.html</t>
        </r>
      </text>
    </comment>
    <comment ref="E20" authorId="0">
      <text>
        <r>
          <rPr>
            <sz val="10"/>
            <color indexed="81"/>
            <rFont val="Meiryo UI"/>
            <family val="2"/>
          </rPr>
          <t>S06 ECSのCloudWatch監視
https://docs.aws.amazon.com/AmazonECS/latest/developerguide/cloudwatch-metrics.html
S33 CloudWatchのメトリクス概念
https://docs.aws.amazon.com/AmazonCloudWatch/latest/monitoring/cloudwatch_concepts.html</t>
        </r>
      </text>
    </comment>
    <comment ref="E21" authorId="0">
      <text>
        <r>
          <rPr>
            <sz val="10"/>
            <color indexed="81"/>
            <rFont val="Meiryo UI"/>
            <family val="2"/>
          </rPr>
          <t>S78 Application Signals一般提供
https://aws.amazon.com/about-aws/whats-new/2024/06/amazon-cloudwatch-application-signals-application-monitoring/</t>
        </r>
      </text>
    </comment>
  </commentList>
</comments>
</file>

<file path=xl/comments4.xml><?xml version="1.0" encoding="utf-8"?>
<comments xmlns="http://schemas.openxmlformats.org/spreadsheetml/2006/main">
  <authors>
    <author>公式資料</author>
  </authors>
  <commentList>
    <comment ref="E6" authorId="0">
      <text>
        <r>
          <rPr>
            <sz val="10"/>
            <color indexed="81"/>
            <rFont val="Meiryo UI"/>
            <family val="2"/>
          </rPr>
          <t>S65 CloudWatch登場の公式発表
https://aws.amazon.com/blogs/aws/new-aws-load-balancing-automatic-scaling-and-cloud-monitoring-services/</t>
        </r>
      </text>
    </comment>
    <comment ref="E7" authorId="0">
      <text>
        <r>
          <rPr>
            <sz val="10"/>
            <color indexed="81"/>
            <rFont val="Meiryo UI"/>
            <family val="2"/>
          </rPr>
          <t>S66 CloudWatch Logsの登場
https://aws.amazon.com/about-aws/whats-new/2014/07/10/introducing-amazon-cloudwatch-logs/</t>
        </r>
      </text>
    </comment>
    <comment ref="E8" authorId="0">
      <text>
        <r>
          <rPr>
            <sz val="10"/>
            <color indexed="81"/>
            <rFont val="Meiryo UI"/>
            <family val="2"/>
          </rPr>
          <t>S67 X-Ray一般提供
https://aws.amazon.com/about-aws/whats-new/2017/04/aws-x-ray-now-generally-available/</t>
        </r>
      </text>
    </comment>
    <comment ref="E9" authorId="0">
      <text>
        <r>
          <rPr>
            <sz val="10"/>
            <color indexed="81"/>
            <rFont val="Meiryo UI"/>
            <family val="2"/>
          </rPr>
          <t>S68 Fargateの登場
https://aws.amazon.com/about-aws/whats-new/2017/11/introducing-aws-fargate-a-technology-to-run-containers-without-managing-infrastructure/</t>
        </r>
      </text>
    </comment>
    <comment ref="E10" authorId="0">
      <text>
        <r>
          <rPr>
            <sz val="10"/>
            <color indexed="81"/>
            <rFont val="Meiryo UI"/>
            <family val="2"/>
          </rPr>
          <t>S69 統合CloudWatch agentの登場
https://aws.amazon.com/about-aws/whats-new/2017/12/amazon-cloudwatch-introduces-a-new-cloudwatch-agent-with-aws-systems-manager-integration-for-unified-metrics-and-logs-collection/
S03 Application Signalsのsidecar設定
https://docs.aws.amazon.com/AmazonCloudWatch/latest/monitoring/CloudWatch-Application-Signals-ECS-Sidecar.html</t>
        </r>
      </text>
    </comment>
    <comment ref="E11" authorId="0">
      <text>
        <r>
          <rPr>
            <sz val="10"/>
            <color indexed="81"/>
            <rFont val="Meiryo UI"/>
            <family val="2"/>
          </rPr>
          <t>S70 Logs Insights一般提供
https://aws.amazon.com/about-aws/whats-new/2018/11/announcing-amazon-cloudwatch-logs-insights-fast-interactive-log-analytics/</t>
        </r>
      </text>
    </comment>
    <comment ref="E12" authorId="0">
      <text>
        <r>
          <rPr>
            <sz val="10"/>
            <color indexed="81"/>
            <rFont val="Meiryo UI"/>
            <family val="2"/>
          </rPr>
          <t>S72 OpenTelemetryの誕生
https://www.cncf.io/blog/2019/05/21/a-brief-history-of-opentelemetry-so-far/</t>
        </r>
      </text>
    </comment>
    <comment ref="E13" authorId="0">
      <text>
        <r>
          <rPr>
            <sz val="10"/>
            <color indexed="81"/>
            <rFont val="Meiryo UI"/>
            <family val="2"/>
          </rPr>
          <t>S71 Container Insights一般提供
https://aws.amazon.com/about-aws/whats-new/2019/08/container-monitoring-for-amazon-ecs-eks-and-kubernetes-is-now-available-in-amazon-cloudwatch/</t>
        </r>
      </text>
    </comment>
    <comment ref="E14" authorId="0">
      <text>
        <r>
          <rPr>
            <sz val="10"/>
            <color indexed="81"/>
            <rFont val="Meiryo UI"/>
            <family val="2"/>
          </rPr>
          <t>S73 Synthetics一般提供
https://aws.amazon.com/about-aws/whats-new/2020/04/amazon-cloudwatch-synthetics-generally-available/</t>
        </r>
      </text>
    </comment>
    <comment ref="E15" authorId="0">
      <text>
        <r>
          <rPr>
            <sz val="10"/>
            <color indexed="81"/>
            <rFont val="Meiryo UI"/>
            <family val="2"/>
          </rPr>
          <t>S74 ADOTプレビュー
https://aws.amazon.com/about-aws/whats-new/2020/10/announcing-aws-distro-for-opentelemetry-in-preview/</t>
        </r>
      </text>
    </comment>
    <comment ref="E16" authorId="0">
      <text>
        <r>
          <rPr>
            <sz val="10"/>
            <color indexed="81"/>
            <rFont val="Meiryo UI"/>
            <family val="2"/>
          </rPr>
          <t>S75 Managed Grafana一般提供
https://aws.amazon.com/blogs/aws/amazon-managed-grafana-is-now-generally-available-with-many-new-features/
S76 AMP一般提供
https://press.aboutamazon.com/2021/9/aws-announces-general-availability-of-amazon-managed-service-for-prometheus</t>
        </r>
      </text>
    </comment>
    <comment ref="E17" authorId="0">
      <text>
        <r>
          <rPr>
            <sz val="10"/>
            <color indexed="81"/>
            <rFont val="Meiryo UI"/>
            <family val="2"/>
          </rPr>
          <t>S77 CloudWatch RUMの登場
https://aws.amazon.com/blogs/aws/cloudwatch-rum/
S60 JMeter Best Practices
https://jmeter.apache.org/usermanual/best-practices.html</t>
        </r>
      </text>
    </comment>
    <comment ref="E18" authorId="0">
      <text>
        <r>
          <rPr>
            <sz val="10"/>
            <color indexed="81"/>
            <rFont val="Meiryo UI"/>
            <family val="2"/>
          </rPr>
          <t>S78 Application Signals一般提供
https://aws.amazon.com/about-aws/whats-new/2024/06/amazon-cloudwatch-application-signals-application-monitoring/</t>
        </r>
      </text>
    </comment>
    <comment ref="E19" authorId="0">
      <text>
        <r>
          <rPr>
            <sz val="10"/>
            <color indexed="81"/>
            <rFont val="Meiryo UI"/>
            <family val="2"/>
          </rPr>
          <t>S79 Transaction Search一般提供
https://aws.amazon.com/about-aws/whats-new/2024/11/amazon-cloudwatch-visibility-application-transactions/
S36 CloudWatch Transaction Search
https://docs.aws.amazon.com/AmazonCloudWatch/latest/monitoring/CloudWatch-Transaction-Search.html</t>
        </r>
      </text>
    </comment>
    <comment ref="E20" authorId="0">
      <text>
        <r>
          <rPr>
            <sz val="10"/>
            <color indexed="81"/>
            <rFont val="Meiryo UI"/>
            <family val="2"/>
          </rPr>
          <t>S80 Database Insights一般提供
https://aws.amazon.com/about-aws/whats-new/2024/12/amazon-cloudwatch-database-insights/</t>
        </r>
      </text>
    </comment>
    <comment ref="E21" authorId="0">
      <text>
        <r>
          <rPr>
            <sz val="10"/>
            <color indexed="81"/>
            <rFont val="Meiryo UI"/>
            <family val="2"/>
          </rPr>
          <t>S09 Container InsightsのECS概要
https://docs.aws.amazon.com/AmazonECS/latest/developerguide/cloudwatch-container-insights.html</t>
        </r>
      </text>
    </comment>
    <comment ref="E22" authorId="0">
      <text>
        <r>
          <rPr>
            <sz val="10"/>
            <color indexed="81"/>
            <rFont val="Meiryo UI"/>
            <family val="2"/>
          </rPr>
          <t>S38 X-Ray SDK/daemonのサポート日程
https://docs.aws.amazon.com/xray/latest/devguide/xray-sdk-daemon-timeline.html
S39 X-RayからOpenTelemetryへの移行
https://docs.aws.amazon.com/xray/latest/devguide/xray-sdk-migration.html</t>
        </r>
      </text>
    </comment>
    <comment ref="E23" authorId="0">
      <text>
        <r>
          <rPr>
            <sz val="10"/>
            <color indexed="81"/>
            <rFont val="Meiryo UI"/>
            <family val="2"/>
          </rPr>
          <t>S83 OpenTelemetryのCNCF Graduation
https://www.cncf.io/announcements/2026/05/21/cloud-native-computing-foundation-announces-opentelemetrys-graduation-solidifying-status-as-the-de-facto-observability-standard/</t>
        </r>
      </text>
    </comment>
    <comment ref="E24" authorId="0">
      <text>
        <r>
          <rPr>
            <sz val="10"/>
            <color indexed="81"/>
            <rFont val="Meiryo UI"/>
            <family val="2"/>
          </rPr>
          <t>S81 ECSの20秒指標の発表
https://aws.amazon.com/about-aws/whats-new/2026/06/amazon-ecs-faster-autoscaling/
S07 ECSサービス使用率と高解像度指標
https://docs.aws.amazon.com/AmazonECS/latest/developerguide/service_utilization.html</t>
        </r>
      </text>
    </comment>
    <comment ref="E25" authorId="0">
      <text>
        <r>
          <rPr>
            <sz val="10"/>
            <color indexed="81"/>
            <rFont val="Meiryo UI"/>
            <family val="2"/>
          </rPr>
          <t>S82 ALBログのCloudWatch連携の発表
https://aws.amazon.com/about-aws/whats-new/2026/07/amazon-cloudwatch-logs/
S13 ALBのCloudWatch Logs連携
https://docs.aws.amazon.com/elasticloadbalancing/latest/application/load-balancer-cloudwatch-logs.html</t>
        </r>
      </text>
    </comment>
    <comment ref="E26" authorId="0">
      <text>
        <r>
          <rPr>
            <sz val="10"/>
            <color indexed="81"/>
            <rFont val="Meiryo UI"/>
            <family val="2"/>
          </rPr>
          <t>S19 CloudWatch Database Insights
https://docs.aws.amazon.com/AmazonCloudWatch/latest/monitoring/Database-Insights.html
S22 Database Insightsと従来API
https://docs.aws.amazon.com/AmazonRDS/latest/UserGuide/USER_PerfInsights.html</t>
        </r>
      </text>
    </comment>
  </commentList>
</comments>
</file>

<file path=xl/comments5.xml><?xml version="1.0" encoding="utf-8"?>
<comments xmlns="http://schemas.openxmlformats.org/spreadsheetml/2006/main">
  <authors>
    <author>公式資料</author>
  </authors>
  <commentList>
    <comment ref="E6" authorId="0">
      <text>
        <r>
          <rPr>
            <sz val="10"/>
            <color indexed="81"/>
            <rFont val="Meiryo UI"/>
            <family val="2"/>
          </rPr>
          <t>S33 CloudWatchのメトリクス概念
https://docs.aws.amazon.com/AmazonCloudWatch/latest/monitoring/cloudwatch_concepts.html</t>
        </r>
      </text>
    </comment>
    <comment ref="E7" authorId="0">
      <text>
        <r>
          <rPr>
            <sz val="10"/>
            <color indexed="81"/>
            <rFont val="Meiryo UI"/>
            <family val="2"/>
          </rPr>
          <t>S05 ECS Enhanced Container Insights指標
https://docs.aws.amazon.com/AmazonCloudWatch/latest/monitoring/Container-Insights-enhanced-observability-metrics-ECS.html
S08 Container Insightsの設定
https://docs.aws.amazon.com/AmazonCloudWatch/latest/monitoring/deploy-container-insights-ECS-cluster.html</t>
        </r>
      </text>
    </comment>
    <comment ref="E8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
S02 Application SignalsをECSで有効化
https://docs.aws.amazon.com/AmazonCloudWatch/latest/monitoring/CloudWatch-Application-Signals-Enable-ECSMain.html
S03 Application Signalsのsidecar設定
https://docs.aws.amazon.com/AmazonCloudWatch/latest/monitoring/CloudWatch-Application-Signals-ECS-Sidecar.html</t>
        </r>
      </text>
    </comment>
    <comment ref="E9" authorId="0">
      <text>
        <r>
          <rPr>
            <sz val="10"/>
            <color indexed="81"/>
            <rFont val="Meiryo UI"/>
            <family val="2"/>
          </rPr>
          <t>S36 CloudWatch Transaction Search
https://docs.aws.amazon.com/AmazonCloudWatch/latest/monitoring/CloudWatch-Transaction-Search.html
S39 X-RayからOpenTelemetryへの移行
https://docs.aws.amazon.com/xray/latest/devguide/xray-sdk-migration.html
S40 OpenTelemetry Java対応ライブラリ
https://github.com/open-telemetry/opentelemetry-java-instrumentation/blob/main/docs/supported-libraries.md</t>
        </r>
      </text>
    </comment>
    <comment ref="E10" authorId="0">
      <text>
        <r>
          <rPr>
            <sz val="10"/>
            <color indexed="81"/>
            <rFont val="Meiryo UI"/>
            <family val="2"/>
          </rPr>
          <t>S36 CloudWatch Transaction Search
https://docs.aws.amazon.com/AmazonCloudWatch/latest/monitoring/CloudWatch-Transaction-Search.html
S37 Transaction Searchの有効化
https://docs.aws.amazon.com/AmazonCloudWatch/latest/monitoring/Enable-TransactionSearch.html</t>
        </r>
      </text>
    </comment>
    <comment ref="E11" authorId="0">
      <text>
        <r>
          <rPr>
            <sz val="10"/>
            <color indexed="81"/>
            <rFont val="Meiryo UI"/>
            <family val="2"/>
          </rPr>
          <t>S34 CloudWatch Logs Insights
https://docs.aws.amazon.com/AmazonCloudWatch/latest/logs/AnalyzingLogData.html
S62 ECSのawslogs
https://docs.aws.amazon.com/AmazonECS/latest/developerguide/using_awslogs.html
S63 CloudWatch Embedded Metric Format
https://docs.aws.amazon.com/AmazonCloudWatch/latest/monitoring/CloudWatch_Embedded_Metric_Format.html</t>
        </r>
      </text>
    </comment>
    <comment ref="E12" authorId="0">
      <text>
        <r>
          <rPr>
            <sz val="10"/>
            <color indexed="81"/>
            <rFont val="Meiryo UI"/>
            <family val="2"/>
          </rPr>
          <t>S19 CloudWatch Database Insights
https://docs.aws.amazon.com/AmazonCloudWatch/latest/monitoring/Database-Insights.html
S20 Database Insightsインスタンス画面
https://docs.aws.amazon.com/AmazonCloudWatch/latest/monitoring/Database-Insights-Database-Instance-Dashboard.html</t>
        </r>
      </text>
    </comment>
    <comment ref="E13" authorId="0">
      <text>
        <r>
          <rPr>
            <sz val="10"/>
            <color indexed="81"/>
            <rFont val="Meiryo UI"/>
            <family val="2"/>
          </rPr>
          <t>S21 RDS Enhanced Monitoring
https://docs.aws.amazon.com/AmazonRDS/latest/UserGuide/USER_Monitoring.OS.html</t>
        </r>
      </text>
    </comment>
    <comment ref="E14" authorId="0">
      <text>
        <r>
          <rPr>
            <sz val="10"/>
            <color indexed="81"/>
            <rFont val="Meiryo UI"/>
            <family val="2"/>
          </rPr>
          <t>S43 ECSからAMPへのアプリ指標送信
https://docs.aws.amazon.com/AmazonECS/latest/developerguide/application-metrics-prometheus.html</t>
        </r>
      </text>
    </comment>
    <comment ref="E15" authorId="0">
      <text>
        <r>
          <rPr>
            <sz val="10"/>
            <color indexed="81"/>
            <rFont val="Meiryo UI"/>
            <family val="2"/>
          </rPr>
          <t>S75 Managed Grafana一般提供
https://aws.amazon.com/blogs/aws/amazon-managed-grafana-is-now-generally-available-with-many-new-features/</t>
        </r>
      </text>
    </comment>
    <comment ref="E16" authorId="0">
      <text>
        <r>
          <rPr>
            <sz val="10"/>
            <color indexed="81"/>
            <rFont val="Meiryo UI"/>
            <family val="2"/>
          </rPr>
          <t>S03 Application Signalsのsidecar設定
https://docs.aws.amazon.com/AmazonCloudWatch/latest/monitoring/CloudWatch-Application-Signals-ECS-Sidecar.html
S40 OpenTelemetry Java対応ライブラリ
https://github.com/open-telemetry/opentelemetry-java-instrumentation/blob/main/docs/supported-libraries.md
S74 ADOTプレビュー
https://aws.amazon.com/about-aws/whats-new/2020/10/announcing-aws-distro-for-opentelemetry-in-preview/</t>
        </r>
      </text>
    </comment>
    <comment ref="E17" authorId="0">
      <text>
        <r>
          <rPr>
            <sz val="10"/>
            <color indexed="81"/>
            <rFont val="Meiryo UI"/>
            <family val="2"/>
          </rPr>
          <t>S02 Application SignalsをECSで有効化
https://docs.aws.amazon.com/AmazonCloudWatch/latest/monitoring/CloudWatch-Application-Signals-Enable-ECSMain.html
S03 Application Signalsのsidecar設定
https://docs.aws.amazon.com/AmazonCloudWatch/latest/monitoring/CloudWatch-Application-Signals-ECS-Sidecar.html
S42 ECSのPrometheus収集
https://docs.aws.amazon.com/AmazonCloudWatch/latest/monitoring/ContainerInsights-Prometheus-Setup-ECS.html
S43 ECSからAMPへのアプリ指標送信
https://docs.aws.amazon.com/AmazonECS/latest/developerguide/application-metrics-prometheus.html</t>
        </r>
      </text>
    </comment>
    <comment ref="E18" authorId="0">
      <text>
        <r>
          <rPr>
            <sz val="10"/>
            <color indexed="81"/>
            <rFont val="Meiryo UI"/>
            <family val="2"/>
          </rPr>
          <t>S73 Synthetics一般提供
https://aws.amazon.com/about-aws/whats-new/2020/04/amazon-cloudwatch-synthetics-generally-available/</t>
        </r>
      </text>
    </comment>
    <comment ref="E19" authorId="0">
      <text>
        <r>
          <rPr>
            <sz val="10"/>
            <color indexed="81"/>
            <rFont val="Meiryo UI"/>
            <family val="2"/>
          </rPr>
          <t>S77 CloudWatch RUMの登場
https://aws.amazon.com/blogs/aws/cloudwatch-rum/
S60 JMeter Best Practices
https://jmeter.apache.org/usermanual/best-practices.html</t>
        </r>
      </text>
    </comment>
    <comment ref="E20" authorId="0">
      <text>
        <r>
          <rPr>
            <sz val="10"/>
            <color indexed="81"/>
            <rFont val="Meiryo UI"/>
            <family val="2"/>
          </rPr>
          <t>S09 Container InsightsのECS概要
https://docs.aws.amazon.com/AmazonECS/latest/developerguide/cloudwatch-container-insights.html
S61 ECS Exec
https://docs.aws.amazon.com/AmazonECS/latest/developerguide/ecs-exec.html</t>
        </r>
      </text>
    </comment>
  </commentList>
</comments>
</file>

<file path=xl/comments6.xml><?xml version="1.0" encoding="utf-8"?>
<comments xmlns="http://schemas.openxmlformats.org/spreadsheetml/2006/main">
  <authors>
    <author>公式資料</author>
  </authors>
  <commentList>
    <comment ref="F6" authorId="0">
      <text>
        <r>
          <rPr>
            <sz val="10"/>
            <color indexed="81"/>
            <rFont val="Meiryo UI"/>
            <family val="2"/>
          </rPr>
          <t>S10 ALBのCloudWatch指標
https://docs.aws.amazon.com/elasticloadbalancing/latest/application/load-balancer-cloudwatch-metrics.html</t>
        </r>
      </text>
    </comment>
    <comment ref="F7" authorId="0">
      <text>
        <r>
          <rPr>
            <sz val="10"/>
            <color indexed="81"/>
            <rFont val="Meiryo UI"/>
            <family val="2"/>
          </rPr>
          <t>S10 ALBのCloudWatch指標
https://docs.aws.amazon.com/elasticloadbalancing/latest/application/load-balancer-cloudwatch-metrics.html</t>
        </r>
      </text>
    </comment>
    <comment ref="F8" authorId="0">
      <text>
        <r>
          <rPr>
            <sz val="10"/>
            <color indexed="81"/>
            <rFont val="Meiryo UI"/>
            <family val="2"/>
          </rPr>
          <t>S10 ALBのCloudWatch指標
https://docs.aws.amazon.com/elasticloadbalancing/latest/application/load-balancer-cloudwatch-metrics.html</t>
        </r>
      </text>
    </comment>
    <comment ref="F9" authorId="0">
      <text>
        <r>
          <rPr>
            <sz val="10"/>
            <color indexed="81"/>
            <rFont val="Meiryo UI"/>
            <family val="2"/>
          </rPr>
          <t>S10 ALBのCloudWatch指標
https://docs.aws.amazon.com/elasticloadbalancing/latest/application/load-balancer-cloudwatch-metrics.html</t>
        </r>
      </text>
    </comment>
    <comment ref="F10" authorId="0">
      <text>
        <r>
          <rPr>
            <sz val="10"/>
            <color indexed="81"/>
            <rFont val="Meiryo UI"/>
            <family val="2"/>
          </rPr>
          <t>S10 ALBのCloudWatch指標
https://docs.aws.amazon.com/elasticloadbalancing/latest/application/load-balancer-cloudwatch-metrics.html</t>
        </r>
      </text>
    </comment>
    <comment ref="F11" authorId="0">
      <text>
        <r>
          <rPr>
            <sz val="10"/>
            <color indexed="81"/>
            <rFont val="Meiryo UI"/>
            <family val="2"/>
          </rPr>
          <t>S10 ALBのCloudWatch指標
https://docs.aws.amazon.com/elasticloadbalancing/latest/application/load-balancer-cloudwatch-metrics.html</t>
        </r>
      </text>
    </comment>
    <comment ref="F12" authorId="0">
      <text>
        <r>
          <rPr>
            <sz val="10"/>
            <color indexed="81"/>
            <rFont val="Meiryo UI"/>
            <family val="2"/>
          </rPr>
          <t>S10 ALBのCloudWatch指標
https://docs.aws.amazon.com/elasticloadbalancing/latest/application/load-balancer-cloudwatch-metrics.html</t>
        </r>
      </text>
    </comment>
    <comment ref="F13" authorId="0">
      <text>
        <r>
          <rPr>
            <sz val="10"/>
            <color indexed="81"/>
            <rFont val="Meiryo UI"/>
            <family val="2"/>
          </rPr>
          <t>S10 ALBのCloudWatch指標
https://docs.aws.amazon.com/elasticloadbalancing/latest/application/load-balancer-cloudwatch-metrics.html</t>
        </r>
      </text>
    </comment>
    <comment ref="F14" authorId="0">
      <text>
        <r>
          <rPr>
            <sz val="10"/>
            <color indexed="81"/>
            <rFont val="Meiryo UI"/>
            <family val="2"/>
          </rPr>
          <t>S11 ALBアクセスログ
https://docs.aws.amazon.com/elasticloadbalancing/latest/application/load-balancer-access-logs.html</t>
        </r>
      </text>
    </comment>
    <comment ref="F15" authorId="0">
      <text>
        <r>
          <rPr>
            <sz val="10"/>
            <color indexed="81"/>
            <rFont val="Meiryo UI"/>
            <family val="2"/>
          </rPr>
          <t>S14 REST API Gateway指標
https://docs.aws.amazon.com/apigateway/latest/developerguide/api-gateway-metrics-and-dimensions.html</t>
        </r>
      </text>
    </comment>
    <comment ref="F16" authorId="0">
      <text>
        <r>
          <rPr>
            <sz val="10"/>
            <color indexed="81"/>
            <rFont val="Meiryo UI"/>
            <family val="2"/>
          </rPr>
          <t>S14 REST API Gateway指標
https://docs.aws.amazon.com/apigateway/latest/developerguide/api-gateway-metrics-and-dimensions.html</t>
        </r>
      </text>
    </comment>
    <comment ref="F17" authorId="0">
      <text>
        <r>
          <rPr>
            <sz val="10"/>
            <color indexed="81"/>
            <rFont val="Meiryo UI"/>
            <family val="2"/>
          </rPr>
          <t>S15 HTTP API Gateway指標
https://docs.aws.amazon.com/apigateway/latest/developerguide/http-api-metrics.html
S16 API Gateway REST APIのX-Ray
https://docs.aws.amazon.com/apigateway/latest/developerguide/apigateway-xray.html</t>
        </r>
      </text>
    </comment>
    <comment ref="F18" authorId="0">
      <text>
        <r>
          <rPr>
            <sz val="10"/>
            <color indexed="81"/>
            <rFont val="Meiryo UI"/>
            <family val="2"/>
          </rPr>
          <t>S26 WAFの指標
https://docs.aws.amazon.com/waf/latest/developerguide/waf-metrics.html</t>
        </r>
      </text>
    </comment>
    <comment ref="F19" authorId="0">
      <text>
        <r>
          <rPr>
            <sz val="10"/>
            <color indexed="81"/>
            <rFont val="Meiryo UI"/>
            <family val="2"/>
          </rPr>
          <t>S25 CloudFrontの指標
https://docs.aws.amazon.com/AmazonCloudFront/latest/DeveloperGuide/programming-cloudwatch-metrics.html</t>
        </r>
      </text>
    </comment>
    <comment ref="F20" authorId="0">
      <text>
        <r>
          <rPr>
            <sz val="10"/>
            <color indexed="81"/>
            <rFont val="Meiryo UI"/>
            <family val="2"/>
          </rPr>
          <t>S25 CloudFrontの指標
https://docs.aws.amazon.com/AmazonCloudFront/latest/DeveloperGuide/programming-cloudwatch-metrics.html</t>
        </r>
      </text>
    </comment>
    <comment ref="F21" authorId="0">
      <text>
        <r>
          <rPr>
            <sz val="10"/>
            <color indexed="81"/>
            <rFont val="Meiryo UI"/>
            <family val="2"/>
          </rPr>
          <t>S27 NAT Gatewayの指標
https://docs.aws.amazon.com/vpc/latest/userguide/metrics-dimensions-nat-gateway.html</t>
        </r>
      </text>
    </comment>
  </commentList>
</comments>
</file>

<file path=xl/comments7.xml><?xml version="1.0" encoding="utf-8"?>
<comments xmlns="http://schemas.openxmlformats.org/spreadsheetml/2006/main">
  <authors>
    <author>公式資料</author>
  </authors>
  <commentList>
    <comment ref="F6" authorId="0">
      <text>
        <r>
          <rPr>
            <sz val="10"/>
            <color indexed="81"/>
            <rFont val="Meiryo UI"/>
            <family val="2"/>
          </rPr>
          <t>S06 ECSのCloudWatch監視
https://docs.aws.amazon.com/AmazonECS/latest/developerguide/cloudwatch-metrics.html
S07 ECSサービス使用率と高解像度指標
https://docs.aws.amazon.com/AmazonECS/latest/developerguide/service_utilization.html</t>
        </r>
      </text>
    </comment>
    <comment ref="F7" authorId="0">
      <text>
        <r>
          <rPr>
            <sz val="10"/>
            <color indexed="81"/>
            <rFont val="Meiryo UI"/>
            <family val="2"/>
          </rPr>
          <t>S07 ECSサービス使用率と高解像度指標
https://docs.aws.amazon.com/AmazonECS/latest/developerguide/service_utilization.html</t>
        </r>
      </text>
    </comment>
    <comment ref="F8" authorId="0">
      <text>
        <r>
          <rPr>
            <sz val="10"/>
            <color indexed="81"/>
            <rFont val="Meiryo UI"/>
            <family val="2"/>
          </rPr>
          <t>S07 ECSサービス使用率と高解像度指標
https://docs.aws.amazon.com/AmazonECS/latest/developerguide/service_utilization.html
S81 ECSの20秒指標の発表
https://aws.amazon.com/about-aws/whats-new/2026/06/amazon-ecs-faster-autoscaling/</t>
        </r>
      </text>
    </comment>
    <comment ref="F9" authorId="0">
      <text>
        <r>
          <rPr>
            <sz val="10"/>
            <color indexed="81"/>
            <rFont val="Meiryo UI"/>
            <family val="2"/>
          </rPr>
          <t>S05 ECS Enhanced Container Insights指標
https://docs.aws.amazon.com/AmazonCloudWatch/latest/monitoring/Container-Insights-enhanced-observability-metrics-ECS.html</t>
        </r>
      </text>
    </comment>
    <comment ref="F10" authorId="0">
      <text>
        <r>
          <rPr>
            <sz val="10"/>
            <color indexed="81"/>
            <rFont val="Meiryo UI"/>
            <family val="2"/>
          </rPr>
          <t>S05 ECS Enhanced Container Insights指標
https://docs.aws.amazon.com/AmazonCloudWatch/latest/monitoring/Container-Insights-enhanced-observability-metrics-ECS.html</t>
        </r>
      </text>
    </comment>
    <comment ref="F11" authorId="0">
      <text>
        <r>
          <rPr>
            <sz val="10"/>
            <color indexed="81"/>
            <rFont val="Meiryo UI"/>
            <family val="2"/>
          </rPr>
          <t>S05 ECS Enhanced Container Insights指標
https://docs.aws.amazon.com/AmazonCloudWatch/latest/monitoring/Container-Insights-enhanced-observability-metrics-ECS.html</t>
        </r>
      </text>
    </comment>
    <comment ref="F12" authorId="0">
      <text>
        <r>
          <rPr>
            <sz val="10"/>
            <color indexed="81"/>
            <rFont val="Meiryo UI"/>
            <family val="2"/>
          </rPr>
          <t>S05 ECS Enhanced Container Insights指標
https://docs.aws.amazon.com/AmazonCloudWatch/latest/monitoring/Container-Insights-enhanced-observability-metrics-ECS.html
S54 Java 21 MemoryMXBean
https://docs.oracle.com/en/java/javase/21/docs/api/java.management/java/lang/management/MemoryMXBean.html</t>
        </r>
      </text>
    </comment>
    <comment ref="F13" authorId="0">
      <text>
        <r>
          <rPr>
            <sz val="10"/>
            <color indexed="81"/>
            <rFont val="Meiryo UI"/>
            <family val="2"/>
          </rPr>
          <t>S05 ECS Enhanced Container Insights指標
https://docs.aws.amazon.com/AmazonCloudWatch/latest/monitoring/Container-Insights-enhanced-observability-metrics-ECS.html</t>
        </r>
      </text>
    </comment>
    <comment ref="F14" authorId="0">
      <text>
        <r>
          <rPr>
            <sz val="10"/>
            <color indexed="81"/>
            <rFont val="Meiryo UI"/>
            <family val="2"/>
          </rPr>
          <t>S05 ECS Enhanced Container Insights指標
https://docs.aws.amazon.com/AmazonCloudWatch/latest/monitoring/Container-Insights-enhanced-observability-metrics-ECS.html
S09 Container InsightsのECS概要
https://docs.aws.amazon.com/AmazonECS/latest/developerguide/cloudwatch-container-insights.html</t>
        </r>
      </text>
    </comment>
    <comment ref="F15" authorId="0">
      <text>
        <r>
          <rPr>
            <sz val="10"/>
            <color indexed="81"/>
            <rFont val="Meiryo UI"/>
            <family val="2"/>
          </rPr>
          <t>S05 ECS Enhanced Container Insights指標
https://docs.aws.amazon.com/AmazonCloudWatch/latest/monitoring/Container-Insights-enhanced-observability-metrics-ECS.html</t>
        </r>
      </text>
    </comment>
    <comment ref="F16" authorId="0">
      <text>
        <r>
          <rPr>
            <sz val="10"/>
            <color indexed="81"/>
            <rFont val="Meiryo UI"/>
            <family val="2"/>
          </rPr>
          <t>S05 ECS Enhanced Container Insights指標
https://docs.aws.amazon.com/AmazonCloudWatch/latest/monitoring/Container-Insights-enhanced-observability-metrics-ECS.html</t>
        </r>
      </text>
    </comment>
    <comment ref="F17" authorId="0">
      <text>
        <r>
          <rPr>
            <sz val="10"/>
            <color indexed="81"/>
            <rFont val="Meiryo UI"/>
            <family val="2"/>
          </rPr>
          <t>S05 ECS Enhanced Container Insights指標
https://docs.aws.amazon.com/AmazonCloudWatch/latest/monitoring/Container-Insights-enhanced-observability-metrics-ECS.html</t>
        </r>
      </text>
    </comment>
    <comment ref="F18" authorId="0">
      <text>
        <r>
          <rPr>
            <sz val="10"/>
            <color indexed="81"/>
            <rFont val="Meiryo UI"/>
            <family val="2"/>
          </rPr>
          <t>S05 ECS Enhanced Container Insights指標
https://docs.aws.amazon.com/AmazonCloudWatch/latest/monitoring/Container-Insights-enhanced-observability-metrics-ECS.html</t>
        </r>
      </text>
    </comment>
    <comment ref="F19" authorId="0">
      <text>
        <r>
          <rPr>
            <sz val="10"/>
            <color indexed="81"/>
            <rFont val="Meiryo UI"/>
            <family val="2"/>
          </rPr>
          <t>S05 ECS Enhanced Container Insights指標
https://docs.aws.amazon.com/AmazonCloudWatch/latest/monitoring/Container-Insights-enhanced-observability-metrics-ECS.html
S56 Java 21 jcmd
https://docs.oracle.com/en/java/javase/21/docs/specs/man/jcmd.html</t>
        </r>
      </text>
    </comment>
  </commentList>
</comments>
</file>

<file path=xl/comments8.xml><?xml version="1.0" encoding="utf-8"?>
<comments xmlns="http://schemas.openxmlformats.org/spreadsheetml/2006/main">
  <authors>
    <author>公式資料</author>
  </authors>
  <commentList>
    <comment ref="F6" authorId="0">
      <text>
        <r>
          <rPr>
            <sz val="10"/>
            <color indexed="81"/>
            <rFont val="Meiryo UI"/>
            <family val="2"/>
          </rPr>
          <t>S17 RDSのCloudWatch指標
https://docs.aws.amazon.com/AmazonRDS/latest/UserGuide/rds-metrics.html
S20 Database Insightsインスタンス画面
https://docs.aws.amazon.com/AmazonCloudWatch/latest/monitoring/Database-Insights-Database-Instance-Dashboard.html</t>
        </r>
      </text>
    </comment>
    <comment ref="F7" authorId="0">
      <text>
        <r>
          <rPr>
            <sz val="10"/>
            <color indexed="81"/>
            <rFont val="Meiryo UI"/>
            <family val="2"/>
          </rPr>
          <t>S17 RDSのCloudWatch指標
https://docs.aws.amazon.com/AmazonRDS/latest/UserGuide/rds-metrics.html
S50 EAP 8.1の管理属性リファレンス
https://docs.redhat.com/en/documentation/red_hat_jboss_enterprise_application_platform/8.1/html/configuration_guide/reference_material</t>
        </r>
      </text>
    </comment>
    <comment ref="F8" authorId="0">
      <text>
        <r>
          <rPr>
            <sz val="10"/>
            <color indexed="81"/>
            <rFont val="Meiryo UI"/>
            <family val="2"/>
          </rPr>
          <t>S17 RDSのCloudWatch指標
https://docs.aws.amazon.com/AmazonRDS/latest/UserGuide/rds-metrics.html</t>
        </r>
      </text>
    </comment>
    <comment ref="F9" authorId="0">
      <text>
        <r>
          <rPr>
            <sz val="10"/>
            <color indexed="81"/>
            <rFont val="Meiryo UI"/>
            <family val="2"/>
          </rPr>
          <t>S17 RDSのCloudWatch指標
https://docs.aws.amazon.com/AmazonRDS/latest/UserGuide/rds-metrics.html</t>
        </r>
      </text>
    </comment>
    <comment ref="F10" authorId="0">
      <text>
        <r>
          <rPr>
            <sz val="10"/>
            <color indexed="81"/>
            <rFont val="Meiryo UI"/>
            <family val="2"/>
          </rPr>
          <t>S17 RDSのCloudWatch指標
https://docs.aws.amazon.com/AmazonRDS/latest/UserGuide/rds-metrics.html</t>
        </r>
      </text>
    </comment>
    <comment ref="F11" authorId="0">
      <text>
        <r>
          <rPr>
            <sz val="10"/>
            <color indexed="81"/>
            <rFont val="Meiryo UI"/>
            <family val="2"/>
          </rPr>
          <t>S19 CloudWatch Database Insights
https://docs.aws.amazon.com/AmazonCloudWatch/latest/monitoring/Database-Insights.html
S20 Database Insightsインスタンス画面
https://docs.aws.amazon.com/AmazonCloudWatch/latest/monitoring/Database-Insights-Database-Instance-Dashboard.html</t>
        </r>
      </text>
    </comment>
    <comment ref="F12" authorId="0">
      <text>
        <r>
          <rPr>
            <sz val="10"/>
            <color indexed="81"/>
            <rFont val="Meiryo UI"/>
            <family val="2"/>
          </rPr>
          <t>S17 RDSのCloudWatch指標
https://docs.aws.amazon.com/AmazonRDS/latest/UserGuide/rds-metrics.html
S18 AuroraのCloudWatch指標
https://docs.aws.amazon.com/AmazonRDS/latest/AuroraUserGuide/Aurora.AuroraMonitoring.Metrics.html</t>
        </r>
      </text>
    </comment>
    <comment ref="F13" authorId="0">
      <text>
        <r>
          <rPr>
            <sz val="10"/>
            <color indexed="81"/>
            <rFont val="Meiryo UI"/>
            <family val="2"/>
          </rPr>
          <t>S18 AuroraのCloudWatch指標
https://docs.aws.amazon.com/AmazonRDS/latest/AuroraUserGuide/Aurora.AuroraMonitoring.Metrics.html</t>
        </r>
      </text>
    </comment>
    <comment ref="F14" authorId="0">
      <text>
        <r>
          <rPr>
            <sz val="10"/>
            <color indexed="81"/>
            <rFont val="Meiryo UI"/>
            <family val="2"/>
          </rPr>
          <t>S23 RDS Proxyの指標
https://docs.aws.amazon.com/AmazonRDS/latest/UserGuide/rds-proxy.monitoring.html</t>
        </r>
      </text>
    </comment>
    <comment ref="F15" authorId="0">
      <text>
        <r>
          <rPr>
            <sz val="10"/>
            <color indexed="81"/>
            <rFont val="Meiryo UI"/>
            <family val="2"/>
          </rPr>
          <t>S24 ElastiCache Valkey/Redis OSS指標
https://docs.aws.amazon.com/AmazonElastiCache/latest/dg/CacheMetrics.Redis.html</t>
        </r>
      </text>
    </comment>
    <comment ref="F16" authorId="0">
      <text>
        <r>
          <rPr>
            <sz val="10"/>
            <color indexed="81"/>
            <rFont val="Meiryo UI"/>
            <family val="2"/>
          </rPr>
          <t>S24 ElastiCache Valkey/Redis OSS指標
https://docs.aws.amazon.com/AmazonElastiCache/latest/dg/CacheMetrics.Redis.html</t>
        </r>
      </text>
    </comment>
    <comment ref="F17" authorId="0">
      <text>
        <r>
          <rPr>
            <sz val="10"/>
            <color indexed="81"/>
            <rFont val="Meiryo UI"/>
            <family val="2"/>
          </rPr>
          <t>S24 ElastiCache Valkey/Redis OSS指標
https://docs.aws.amazon.com/AmazonElastiCache/latest/dg/CacheMetrics.Redis.html</t>
        </r>
      </text>
    </comment>
    <comment ref="F18" authorId="0">
      <text>
        <r>
          <rPr>
            <sz val="10"/>
            <color indexed="81"/>
            <rFont val="Meiryo UI"/>
            <family val="2"/>
          </rPr>
          <t>S28 SQSの指標
https://docs.aws.amazon.com/AWSSimpleQueueService/latest/SQSDeveloperGuide/sqs-available-cloudwatch-metrics.html</t>
        </r>
      </text>
    </comment>
    <comment ref="F19" authorId="0">
      <text>
        <r>
          <rPr>
            <sz val="10"/>
            <color indexed="81"/>
            <rFont val="Meiryo UI"/>
            <family val="2"/>
          </rPr>
          <t>S28 SQSの指標
https://docs.aws.amazon.com/AWSSimpleQueueService/latest/SQSDeveloperGuide/sqs-available-cloudwatch-metrics.html</t>
        </r>
      </text>
    </comment>
    <comment ref="F20" authorId="0">
      <text>
        <r>
          <rPr>
            <sz val="10"/>
            <color indexed="81"/>
            <rFont val="Meiryo UI"/>
            <family val="2"/>
          </rPr>
          <t>S29 Lambdaの指標
https://docs.aws.amazon.com/lambda/latest/dg/monitoring-metrics-types.html</t>
        </r>
      </text>
    </comment>
    <comment ref="F21" authorId="0">
      <text>
        <r>
          <rPr>
            <sz val="10"/>
            <color indexed="81"/>
            <rFont val="Meiryo UI"/>
            <family val="2"/>
          </rPr>
          <t>S30 DynamoDBの指標
https://docs.aws.amazon.com/amazondynamodb/latest/developerguide/metrics-dimensions.html</t>
        </r>
      </text>
    </comment>
    <comment ref="F22" authorId="0">
      <text>
        <r>
          <rPr>
            <sz val="10"/>
            <color indexed="81"/>
            <rFont val="Meiryo UI"/>
            <family val="2"/>
          </rPr>
          <t>S31 S3の指標
https://docs.aws.amazon.com/AmazonS3/latest/userguide/metrics-dimensions.html</t>
        </r>
      </text>
    </comment>
    <comment ref="F23" authorId="0">
      <text>
        <r>
          <rPr>
            <sz val="10"/>
            <color indexed="81"/>
            <rFont val="Meiryo UI"/>
            <family val="2"/>
          </rPr>
          <t>S32 EFSの指標
https://docs.aws.amazon.com/efs/latest/ug/efs-metrics.html</t>
        </r>
      </text>
    </comment>
  </commentList>
</comments>
</file>

<file path=xl/comments9.xml><?xml version="1.0" encoding="utf-8"?>
<comments xmlns="http://schemas.openxmlformats.org/spreadsheetml/2006/main">
  <authors>
    <author>公式資料</author>
  </authors>
  <commentList>
    <comment ref="F6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
S54 Java 21 MemoryMXBean
https://docs.oracle.com/en/java/javase/21/docs/api/java.management/java/lang/management/MemoryMXBean.html</t>
        </r>
      </text>
    </comment>
    <comment ref="F7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</t>
        </r>
      </text>
    </comment>
    <comment ref="F8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
S48 EAP 8.1のJVMチューニング
https://docs.redhat.com/en/documentation/red_hat_jboss_enterprise_application_platform/8.1/html/performance_tuning_for_red_hat_jboss_enterprise_application_platform/assembly-jvm-tuning_performance-tuning-guide</t>
        </r>
      </text>
    </comment>
    <comment ref="F9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
S56 Java 21 jcmd
https://docs.oracle.com/en/java/javase/21/docs/specs/man/jcmd.html</t>
        </r>
      </text>
    </comment>
    <comment ref="F10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
S54 Java 21 MemoryMXBean
https://docs.oracle.com/en/java/javase/21/docs/api/java.management/java/lang/management/MemoryMXBean.html
S57 Java 21 Native Memory Tracking
https://docs.oracle.com/en/java/javase/21/vm/native-memory-tracking.html</t>
        </r>
      </text>
    </comment>
    <comment ref="F11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
S48 EAP 8.1のJVMチューニング
https://docs.redhat.com/en/documentation/red_hat_jboss_enterprise_application_platform/8.1/html/performance_tuning_for_red_hat_jboss_enterprise_application_platform/assembly-jvm-tuning_performance-tuning-guide</t>
        </r>
      </text>
    </comment>
    <comment ref="F12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</t>
        </r>
      </text>
    </comment>
    <comment ref="F13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</t>
        </r>
      </text>
    </comment>
    <comment ref="F14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
S48 EAP 8.1のJVMチューニング
https://docs.redhat.com/en/documentation/red_hat_jboss_enterprise_application_platform/8.1/html/performance_tuning_for_red_hat_jboss_enterprise_application_platform/assembly-jvm-tuning_performance-tuning-guide</t>
        </r>
      </text>
    </comment>
    <comment ref="F15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
S55 Java 21 ThreadMXBean
https://docs.oracle.com/en/java/javase/21/docs/api/java.management/java/lang/management/ThreadMXBean.html</t>
        </r>
      </text>
    </comment>
    <comment ref="F16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
S54 Java 21 MemoryMXBean
https://docs.oracle.com/en/java/javase/21/docs/api/java.management/java/lang/management/MemoryMXBean.html</t>
        </r>
      </text>
    </comment>
    <comment ref="F17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</t>
        </r>
      </text>
    </comment>
    <comment ref="F18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
S53 Java 21 MemoryUsage
https://docs.oracle.com/en/java/javase/21/docs/api/java.management/java/lang/management/MemoryUsage.html
S56 Java 21 jcmd
https://docs.oracle.com/en/java/javase/21/docs/specs/man/jcmd.html</t>
        </r>
      </text>
    </comment>
    <comment ref="F19" authorId="0">
      <text>
        <r>
          <rPr>
            <sz val="10"/>
            <color indexed="81"/>
            <rFont val="Meiryo UI"/>
            <family val="2"/>
          </rPr>
          <t>S53 Java 21 MemoryUsage
https://docs.oracle.com/en/java/javase/21/docs/api/java.management/java/lang/management/MemoryUsage.html</t>
        </r>
      </text>
    </comment>
    <comment ref="F20" authorId="0">
      <text>
        <r>
          <rPr>
            <sz val="10"/>
            <color indexed="81"/>
            <rFont val="Meiryo UI"/>
            <family val="2"/>
          </rPr>
          <t>S47 EAP 8.1の性能監視
https://docs.redhat.com/en/documentation/red_hat_jboss_enterprise_application_platform/8.1/html/performance_tuning_for_red_hat_jboss_enterprise_application_platform/assembly-monitoring-performance_performance-tuning-guide
S54 Java 21 MemoryMXBean
https://docs.oracle.com/en/java/javase/21/docs/api/java.management/java/lang/management/MemoryMXBean.html</t>
        </r>
      </text>
    </comment>
    <comment ref="F21" authorId="0">
      <text>
        <r>
          <rPr>
            <sz val="10"/>
            <color indexed="81"/>
            <rFont val="Meiryo UI"/>
            <family val="2"/>
          </rPr>
          <t>S56 Java 21 jcmd
https://docs.oracle.com/en/java/javase/21/docs/specs/man/jcmd.html
S57 Java 21 Native Memory Tracking
https://docs.oracle.com/en/java/javase/21/vm/native-memory-tracking.html</t>
        </r>
      </text>
    </comment>
    <comment ref="F22" authorId="0">
      <text>
        <r>
          <rPr>
            <sz val="10"/>
            <color indexed="81"/>
            <rFont val="Meiryo UI"/>
            <family val="2"/>
          </rPr>
          <t>S55 Java 21 ThreadMXBean
https://docs.oracle.com/en/java/javase/21/docs/api/java.management/java/lang/management/ThreadMXBean.html
S56 Java 21 jcmd
https://docs.oracle.com/en/java/javase/21/docs/specs/man/jcmd.html</t>
        </r>
      </text>
    </comment>
    <comment ref="F23" authorId="0">
      <text>
        <r>
          <rPr>
            <sz val="10"/>
            <color indexed="81"/>
            <rFont val="Meiryo UI"/>
            <family val="2"/>
          </rPr>
          <t>S41 CloudWatch agentのJMX収集
https://docs.aws.amazon.com/AmazonCloudWatch/latest/monitoring/CloudWatch-Agent-JMX-metrics.html
S42 ECSのPrometheus収集
https://docs.aws.amazon.com/AmazonCloudWatch/latest/monitoring/ContainerInsights-Prometheus-Setup-ECS.html</t>
        </r>
      </text>
    </comment>
  </commentList>
</comments>
</file>

<file path=xl/comments10.xml><?xml version="1.0" encoding="utf-8"?>
<comments xmlns="http://schemas.openxmlformats.org/spreadsheetml/2006/main">
  <authors>
    <author>公式資料</author>
  </authors>
  <commentList>
    <comment ref="E6" authorId="0">
      <text>
        <r>
          <rPr>
            <sz val="10"/>
            <color indexed="81"/>
            <rFont val="Meiryo UI"/>
            <family val="2"/>
          </rPr>
          <t>S05 ECS Enhanced Container Insights指標
https://docs.aws.amazon.com/AmazonCloudWatch/latest/monitoring/Container-Insights-enhanced-observability-metrics-ECS.html
S53 Java 21 MemoryUsage
https://docs.oracle.com/en/java/javase/21/docs/api/java.management/java/lang/management/MemoryUsage.html
S54 Java 21 MemoryMXBean
https://docs.oracle.com/en/java/javase/21/docs/api/java.management/java/lang/management/MemoryMXBean.html</t>
        </r>
      </text>
    </comment>
    <comment ref="E7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
S53 Java 21 MemoryUsage
https://docs.oracle.com/en/java/javase/21/docs/api/java.management/java/lang/management/MemoryUsage.html</t>
        </r>
      </text>
    </comment>
    <comment ref="E8" authorId="0">
      <text>
        <r>
          <rPr>
            <sz val="10"/>
            <color indexed="81"/>
            <rFont val="Meiryo UI"/>
            <family val="2"/>
          </rPr>
          <t>S53 Java 21 MemoryUsage
https://docs.oracle.com/en/java/javase/21/docs/api/java.management/java/lang/management/MemoryUsage.html</t>
        </r>
      </text>
    </comment>
    <comment ref="E9" authorId="0">
      <text>
        <r>
          <rPr>
            <sz val="10"/>
            <color indexed="81"/>
            <rFont val="Meiryo UI"/>
            <family val="2"/>
          </rPr>
          <t>S48 EAP 8.1のJVMチューニング
https://docs.redhat.com/en/documentation/red_hat_jboss_enterprise_application_platform/8.1/html/performance_tuning_for_red_hat_jboss_enterprise_application_platform/assembly-jvm-tuning_performance-tuning-guide
S53 Java 21 MemoryUsage
https://docs.oracle.com/en/java/javase/21/docs/api/java.management/java/lang/management/MemoryUsage.html
S56 Java 21 jcmd
https://docs.oracle.com/en/java/javase/21/docs/specs/man/jcmd.html</t>
        </r>
      </text>
    </comment>
    <comment ref="E10" authorId="0">
      <text>
        <r>
          <rPr>
            <sz val="10"/>
            <color indexed="81"/>
            <rFont val="Meiryo UI"/>
            <family val="2"/>
          </rPr>
          <t>S48 EAP 8.1のJVMチューニング
https://docs.redhat.com/en/documentation/red_hat_jboss_enterprise_application_platform/8.1/html/performance_tuning_for_red_hat_jboss_enterprise_application_platform/assembly-jvm-tuning_performance-tuning-guide
S53 Java 21 MemoryUsage
https://docs.oracle.com/en/java/javase/21/docs/api/java.management/java/lang/management/MemoryUsage.html</t>
        </r>
      </text>
    </comment>
    <comment ref="E11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
S53 Java 21 MemoryUsage
https://docs.oracle.com/en/java/javase/21/docs/api/java.management/java/lang/management/MemoryUsage.html</t>
        </r>
      </text>
    </comment>
    <comment ref="E12" authorId="0">
      <text>
        <r>
          <rPr>
            <sz val="10"/>
            <color indexed="81"/>
            <rFont val="Meiryo UI"/>
            <family val="2"/>
          </rPr>
          <t>S48 EAP 8.1のJVMチューニング
https://docs.redhat.com/en/documentation/red_hat_jboss_enterprise_application_platform/8.1/html/performance_tuning_for_red_hat_jboss_enterprise_application_platform/assembly-jvm-tuning_performance-tuning-guide</t>
        </r>
      </text>
    </comment>
    <comment ref="E13" authorId="0">
      <text>
        <r>
          <rPr>
            <sz val="10"/>
            <color indexed="81"/>
            <rFont val="Meiryo UI"/>
            <family val="2"/>
          </rPr>
          <t>S48 EAP 8.1のJVMチューニング
https://docs.redhat.com/en/documentation/red_hat_jboss_enterprise_application_platform/8.1/html/performance_tuning_for_red_hat_jboss_enterprise_application_platform/assembly-jvm-tuning_performance-tuning-guide
S56 Java 21 jcmd
https://docs.oracle.com/en/java/javase/21/docs/specs/man/jcmd.html</t>
        </r>
      </text>
    </comment>
    <comment ref="E14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
S56 Java 21 jcmd
https://docs.oracle.com/en/java/javase/21/docs/specs/man/jcmd.html</t>
        </r>
      </text>
    </comment>
    <comment ref="E15" authorId="0">
      <text>
        <r>
          <rPr>
            <sz val="10"/>
            <color indexed="81"/>
            <rFont val="Meiryo UI"/>
            <family val="2"/>
          </rPr>
          <t>S48 EAP 8.1のJVMチューニング
https://docs.redhat.com/en/documentation/red_hat_jboss_enterprise_application_platform/8.1/html/performance_tuning_for_red_hat_jboss_enterprise_application_platform/assembly-jvm-tuning_performance-tuning-guide</t>
        </r>
      </text>
    </comment>
    <comment ref="E16" authorId="0">
      <text>
        <r>
          <rPr>
            <sz val="10"/>
            <color indexed="81"/>
            <rFont val="Meiryo UI"/>
            <family val="2"/>
          </rPr>
          <t>S48 EAP 8.1のJVMチューニング
https://docs.redhat.com/en/documentation/red_hat_jboss_enterprise_application_platform/8.1/html/performance_tuning_for_red_hat_jboss_enterprise_application_platform/assembly-jvm-tuning_performance-tuning-guide
S60 JMeter Best Practices
https://jmeter.apache.org/usermanual/best-practices.html</t>
        </r>
      </text>
    </comment>
    <comment ref="E17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
S54 Java 21 MemoryMXBean
https://docs.oracle.com/en/java/javase/21/docs/api/java.management/java/lang/management/MemoryMXBean.html</t>
        </r>
      </text>
    </comment>
    <comment ref="E18" authorId="0">
      <text>
        <r>
          <rPr>
            <sz val="10"/>
            <color indexed="81"/>
            <rFont val="Meiryo UI"/>
            <family val="2"/>
          </rPr>
          <t>S55 Java 21 ThreadMXBean
https://docs.oracle.com/en/java/javase/21/docs/api/java.management/java/lang/management/ThreadMXBean.html
S57 Java 21 Native Memory Tracking
https://docs.oracle.com/en/java/javase/21/vm/native-memory-tracking.html</t>
        </r>
      </text>
    </comment>
    <comment ref="E19" authorId="0">
      <text>
        <r>
          <rPr>
            <sz val="10"/>
            <color indexed="81"/>
            <rFont val="Meiryo UI"/>
            <family val="2"/>
          </rPr>
          <t>S54 Java 21 MemoryMXBean
https://docs.oracle.com/en/java/javase/21/docs/api/java.management/java/lang/management/MemoryMXBean.html
S57 Java 21 Native Memory Tracking
https://docs.oracle.com/en/java/javase/21/vm/native-memory-tracking.html</t>
        </r>
      </text>
    </comment>
    <comment ref="E20" authorId="0">
      <text>
        <r>
          <rPr>
            <sz val="10"/>
            <color indexed="81"/>
            <rFont val="Meiryo UI"/>
            <family val="2"/>
          </rPr>
          <t>S48 EAP 8.1のJVMチューニング
https://docs.redhat.com/en/documentation/red_hat_jboss_enterprise_application_platform/8.1/html/performance_tuning_for_red_hat_jboss_enterprise_application_platform/assembly-jvm-tuning_performance-tuning-guide
S56 Java 21 jcmd
https://docs.oracle.com/en/java/javase/21/docs/specs/man/jcmd.html</t>
        </r>
      </text>
    </comment>
    <comment ref="E21" authorId="0">
      <text>
        <r>
          <rPr>
            <sz val="10"/>
            <color indexed="81"/>
            <rFont val="Meiryo UI"/>
            <family val="2"/>
          </rPr>
          <t>S05 ECS Enhanced Container Insights指標
https://docs.aws.amazon.com/AmazonCloudWatch/latest/monitoring/Container-Insights-enhanced-observability-metrics-ECS.html
S09 Container InsightsのECS概要
https://docs.aws.amazon.com/AmazonECS/latest/developerguide/cloudwatch-container-insights.html
S61 ECS Exec
https://docs.aws.amazon.com/AmazonECS/latest/developerguide/ecs-exec.html</t>
        </r>
      </text>
    </comment>
    <comment ref="E22" authorId="0">
      <text>
        <r>
          <rPr>
            <sz val="10"/>
            <color indexed="81"/>
            <rFont val="Meiryo UI"/>
            <family val="2"/>
          </rPr>
          <t>S03 Application Signalsのsidecar設定
https://docs.aws.amazon.com/AmazonCloudWatch/latest/monitoring/CloudWatch-Application-Signals-ECS-Sidecar.html
S05 ECS Enhanced Container Insights指標
https://docs.aws.amazon.com/AmazonCloudWatch/latest/monitoring/Container-Insights-enhanced-observability-metrics-ECS.html</t>
        </r>
      </text>
    </comment>
    <comment ref="E23" authorId="0">
      <text>
        <r>
          <rPr>
            <sz val="10"/>
            <color indexed="81"/>
            <rFont val="Meiryo UI"/>
            <family val="2"/>
          </rPr>
          <t>S03 Application Signalsのsidecar設定
https://docs.aws.amazon.com/AmazonCloudWatch/latest/monitoring/CloudWatch-Application-Signals-ECS-Sidecar.html
S53 Java 21 MemoryUsage
https://docs.oracle.com/en/java/javase/21/docs/api/java.management/java/lang/management/MemoryUsage.html
S57 Java 21 Native Memory Tracking
https://docs.oracle.com/en/java/javase/21/vm/native-memory-tracking.html</t>
        </r>
      </text>
    </comment>
    <comment ref="E24" authorId="0">
      <text>
        <r>
          <rPr>
            <sz val="10"/>
            <color indexed="81"/>
            <rFont val="Meiryo UI"/>
            <family val="2"/>
          </rPr>
          <t>S05 ECS Enhanced Container Insights指標
https://docs.aws.amazon.com/AmazonCloudWatch/latest/monitoring/Container-Insights-enhanced-observability-metrics-ECS.html
S56 Java 21 jcmd
https://docs.oracle.com/en/java/javase/21/docs/specs/man/jcmd.html
S61 ECS Exec
https://docs.aws.amazon.com/AmazonECS/latest/developerguide/ecs-exec.html</t>
        </r>
      </text>
    </comment>
  </commentList>
</comments>
</file>

<file path=xl/comments11.xml><?xml version="1.0" encoding="utf-8"?>
<comments xmlns="http://schemas.openxmlformats.org/spreadsheetml/2006/main">
  <authors>
    <author>公式資料</author>
  </authors>
  <commentList>
    <comment ref="E6" authorId="0">
      <text>
        <r>
          <rPr>
            <sz val="10"/>
            <color indexed="81"/>
            <rFont val="Meiryo UI"/>
            <family val="2"/>
          </rPr>
          <t>S40 OpenTelemetry Java対応ライブラリ
https://github.com/open-telemetry/opentelemetry-java-instrumentation/blob/main/docs/supported-libraries.md
S50 EAP 8.1の管理属性リファレンス
https://docs.redhat.com/en/documentation/red_hat_jboss_enterprise_application_platform/8.1/html/configuration_guide/reference_material</t>
        </r>
      </text>
    </comment>
    <comment ref="E7" authorId="0">
      <text>
        <r>
          <rPr>
            <sz val="10"/>
            <color indexed="81"/>
            <rFont val="Meiryo UI"/>
            <family val="2"/>
          </rPr>
          <t>S50 EAP 8.1の管理属性リファレンス
https://docs.redhat.com/en/documentation/red_hat_jboss_enterprise_application_platform/8.1/html/configuration_guide/reference_material</t>
        </r>
      </text>
    </comment>
    <comment ref="E8" authorId="0">
      <text>
        <r>
          <rPr>
            <sz val="10"/>
            <color indexed="81"/>
            <rFont val="Meiryo UI"/>
            <family val="2"/>
          </rPr>
          <t>S50 EAP 8.1の管理属性リファレンス
https://docs.redhat.com/en/documentation/red_hat_jboss_enterprise_application_platform/8.1/html/configuration_guide/reference_material</t>
        </r>
      </text>
    </comment>
    <comment ref="E9" authorId="0">
      <text>
        <r>
          <rPr>
            <sz val="10"/>
            <color indexed="81"/>
            <rFont val="Meiryo UI"/>
            <family val="2"/>
          </rPr>
          <t>S49 EAP 8.1の接続プール
https://docs.redhat.com/en/documentation/red_hat_jboss_enterprise_application_platform/8.1/html/performance_tuning_for_red_hat_jboss_enterprise_application_platform/assembly-datasource-resource-adapter-tuning_performance-tuning-guide
S50 EAP 8.1の管理属性リファレンス
https://docs.redhat.com/en/documentation/red_hat_jboss_enterprise_application_platform/8.1/html/configuration_guide/reference_material</t>
        </r>
      </text>
    </comment>
    <comment ref="E10" authorId="0">
      <text>
        <r>
          <rPr>
            <sz val="10"/>
            <color indexed="81"/>
            <rFont val="Meiryo UI"/>
            <family val="2"/>
          </rPr>
          <t>S50 EAP 8.1の管理属性リファレンス
https://docs.redhat.com/en/documentation/red_hat_jboss_enterprise_application_platform/8.1/html/configuration_guide/reference_material</t>
        </r>
      </text>
    </comment>
    <comment ref="E11" authorId="0">
      <text>
        <r>
          <rPr>
            <sz val="10"/>
            <color indexed="81"/>
            <rFont val="Meiryo UI"/>
            <family val="2"/>
          </rPr>
          <t>S50 EAP 8.1の管理属性リファレンス
https://docs.redhat.com/en/documentation/red_hat_jboss_enterprise_application_platform/8.1/html/configuration_guide/reference_material
S51 EAP 8.1のdatasource管理
https://docs.redhat.com/en/documentation/red_hat_jboss_enterprise_application_platform/8.1/html/configuration_guide/datasource_management</t>
        </r>
      </text>
    </comment>
    <comment ref="E12" authorId="0">
      <text>
        <r>
          <rPr>
            <sz val="10"/>
            <color indexed="81"/>
            <rFont val="Meiryo UI"/>
            <family val="2"/>
          </rPr>
          <t>S50 EAP 8.1の管理属性リファレンス
https://docs.redhat.com/en/documentation/red_hat_jboss_enterprise_application_platform/8.1/html/configuration_guide/reference_material</t>
        </r>
      </text>
    </comment>
    <comment ref="E13" authorId="0">
      <text>
        <r>
          <rPr>
            <sz val="10"/>
            <color indexed="81"/>
            <rFont val="Meiryo UI"/>
            <family val="2"/>
          </rPr>
          <t>S49 EAP 8.1の接続プール
https://docs.redhat.com/en/documentation/red_hat_jboss_enterprise_application_platform/8.1/html/performance_tuning_for_red_hat_jboss_enterprise_application_platform/assembly-datasource-resource-adapter-tuning_performance-tuning-guide
S51 EAP 8.1のdatasource管理
https://docs.redhat.com/en/documentation/red_hat_jboss_enterprise_application_platform/8.1/html/configuration_guide/datasource_management</t>
        </r>
      </text>
    </comment>
    <comment ref="E14" authorId="0">
      <text>
        <r>
          <rPr>
            <sz val="10"/>
            <color indexed="81"/>
            <rFont val="Meiryo UI"/>
            <family val="2"/>
          </rPr>
          <t>S17 RDSのCloudWatch指標
https://docs.aws.amazon.com/AmazonRDS/latest/UserGuide/rds-metrics.html
S49 EAP 8.1の接続プール
https://docs.redhat.com/en/documentation/red_hat_jboss_enterprise_application_platform/8.1/html/performance_tuning_for_red_hat_jboss_enterprise_application_platform/assembly-datasource-resource-adapter-tuning_performance-tuning-guide</t>
        </r>
      </text>
    </comment>
    <comment ref="E15" authorId="0">
      <text>
        <r>
          <rPr>
            <sz val="10"/>
            <color indexed="81"/>
            <rFont val="Meiryo UI"/>
            <family val="2"/>
          </rPr>
          <t>S40 OpenTelemetry Java対応ライブラリ
https://github.com/open-telemetry/opentelemetry-java-instrumentation/blob/main/docs/supported-libraries.md</t>
        </r>
      </text>
    </comment>
    <comment ref="E16" authorId="0">
      <text>
        <r>
          <rPr>
            <sz val="10"/>
            <color indexed="81"/>
            <rFont val="Meiryo UI"/>
            <family val="2"/>
          </rPr>
          <t>S47 EAP 8.1の性能監視
https://docs.redhat.com/en/documentation/red_hat_jboss_enterprise_application_platform/8.1/html/performance_tuning_for_red_hat_jboss_enterprise_application_platform/assembly-monitoring-performance_performance-tuning-guide
S50 EAP 8.1の管理属性リファレンス
https://docs.redhat.com/en/documentation/red_hat_jboss_enterprise_application_platform/8.1/html/configuration_guide/reference_material</t>
        </r>
      </text>
    </comment>
    <comment ref="E17" authorId="0">
      <text>
        <r>
          <rPr>
            <sz val="10"/>
            <color indexed="81"/>
            <rFont val="Meiryo UI"/>
            <family val="2"/>
          </rPr>
          <t>S41 CloudWatch agentのJMX収集
https://docs.aws.amazon.com/AmazonCloudWatch/latest/monitoring/CloudWatch-Agent-JMX-metrics.html
S50 EAP 8.1の管理属性リファレンス
https://docs.redhat.com/en/documentation/red_hat_jboss_enterprise_application_platform/8.1/html/configuration_guide/reference_material
S52 EAP XP 6のMicroProfile
https://docs.redhat.com/en/documentation/red_hat_jboss_enterprise_application_platform/8.1/html/using_jboss_eap_xp_6.0/understand_microprofile</t>
        </r>
      </text>
    </comment>
  </commentList>
</comments>
</file>

<file path=xl/comments12.xml><?xml version="1.0" encoding="utf-8"?>
<comments xmlns="http://schemas.openxmlformats.org/spreadsheetml/2006/main">
  <authors>
    <author>公式資料</author>
  </authors>
  <commentList>
    <comment ref="E6" authorId="0">
      <text>
        <r>
          <rPr>
            <sz val="10"/>
            <color indexed="81"/>
            <rFont val="Meiryo UI"/>
            <family val="2"/>
          </rPr>
          <t>S02 Application SignalsをECSで有効化
https://docs.aws.amazon.com/AmazonCloudWatch/latest/monitoring/CloudWatch-Application-Signals-Enable-ECSMain.html
S03 Application Signalsのsidecar設定
https://docs.aws.amazon.com/AmazonCloudWatch/latest/monitoring/CloudWatch-Application-Signals-ECS-Sidecar.html</t>
        </r>
      </text>
    </comment>
    <comment ref="E7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
S04 Application Signals対応システム
https://docs.aws.amazon.com/AmazonCloudWatch/latest/monitoring/CloudWatch-Application-Signals-supportmatrix.html
S45 EAP 8のサポート構成
https://access.redhat.com/articles/6961381</t>
        </r>
      </text>
    </comment>
    <comment ref="E8" authorId="0">
      <text>
        <r>
          <rPr>
            <sz val="10"/>
            <color indexed="81"/>
            <rFont val="Meiryo UI"/>
            <family val="2"/>
          </rPr>
          <t>S03 Application Signalsのsidecar設定
https://docs.aws.amazon.com/AmazonCloudWatch/latest/monitoring/CloudWatch-Application-Signals-ECS-Sidecar.html</t>
        </r>
      </text>
    </comment>
    <comment ref="E9" authorId="0">
      <text>
        <r>
          <rPr>
            <sz val="10"/>
            <color indexed="81"/>
            <rFont val="Meiryo UI"/>
            <family val="2"/>
          </rPr>
          <t>S03 Application Signalsのsidecar設定
https://docs.aws.amazon.com/AmazonCloudWatch/latest/monitoring/CloudWatch-Application-Signals-ECS-Sidecar.html</t>
        </r>
      </text>
    </comment>
    <comment ref="E10" authorId="0">
      <text>
        <r>
          <rPr>
            <sz val="10"/>
            <color indexed="81"/>
            <rFont val="Meiryo UI"/>
            <family val="2"/>
          </rPr>
          <t>S02 Application SignalsをECSで有効化
https://docs.aws.amazon.com/AmazonCloudWatch/latest/monitoring/CloudWatch-Application-Signals-Enable-ECSMain.html
S03 Application Signalsのsidecar設定
https://docs.aws.amazon.com/AmazonCloudWatch/latest/monitoring/CloudWatch-Application-Signals-ECS-Sidecar.html</t>
        </r>
      </text>
    </comment>
    <comment ref="E11" authorId="0">
      <text>
        <r>
          <rPr>
            <sz val="10"/>
            <color indexed="81"/>
            <rFont val="Meiryo UI"/>
            <family val="2"/>
          </rPr>
          <t>S03 Application Signalsのsidecar設定
https://docs.aws.amazon.com/AmazonCloudWatch/latest/monitoring/CloudWatch-Application-Signals-ECS-Sidecar.html
S43 ECSからAMPへのアプリ指標送信
https://docs.aws.amazon.com/AmazonECS/latest/developerguide/application-metrics-prometheus.html
S62 ECSのawslogs
https://docs.aws.amazon.com/AmazonECS/latest/developerguide/using_awslogs.html</t>
        </r>
      </text>
    </comment>
    <comment ref="E12" authorId="0">
      <text>
        <r>
          <rPr>
            <sz val="10"/>
            <color indexed="81"/>
            <rFont val="Meiryo UI"/>
            <family val="2"/>
          </rPr>
          <t>S03 Application Signalsのsidecar設定
https://docs.aws.amazon.com/AmazonCloudWatch/latest/monitoring/CloudWatch-Application-Signals-ECS-Sidecar.html
S61 ECS Exec
https://docs.aws.amazon.com/AmazonECS/latest/developerguide/ecs-exec.html</t>
        </r>
      </text>
    </comment>
    <comment ref="E13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
S03 Application Signalsのsidecar設定
https://docs.aws.amazon.com/AmazonCloudWatch/latest/monitoring/CloudWatch-Application-Signals-ECS-Sidecar.html</t>
        </r>
      </text>
    </comment>
    <comment ref="E14" authorId="0">
      <text>
        <r>
          <rPr>
            <sz val="10"/>
            <color indexed="81"/>
            <rFont val="Meiryo UI"/>
            <family val="2"/>
          </rPr>
          <t>S42 ECSのPrometheus収集
https://docs.aws.amazon.com/AmazonCloudWatch/latest/monitoring/ContainerInsights-Prometheus-Setup-ECS.html
S43 ECSからAMPへのアプリ指標送信
https://docs.aws.amazon.com/AmazonECS/latest/developerguide/application-metrics-prometheus.html
S44 Prometheus JMX Exporter Java agent
https://prometheus.github.io/jmx_exporter/deployment/java-agent/</t>
        </r>
      </text>
    </comment>
    <comment ref="E15" authorId="0">
      <text>
        <r>
          <rPr>
            <sz val="10"/>
            <color indexed="81"/>
            <rFont val="Meiryo UI"/>
            <family val="2"/>
          </rPr>
          <t>S44 Prometheus JMX Exporter Java agent
https://prometheus.github.io/jmx_exporter/deployment/java-agent/
S47 EAP 8.1の性能監視
https://docs.redhat.com/en/documentation/red_hat_jboss_enterprise_application_platform/8.1/html/performance_tuning_for_red_hat_jboss_enterprise_application_platform/assembly-monitoring-performance_performance-tuning-guide</t>
        </r>
      </text>
    </comment>
    <comment ref="E16" authorId="0">
      <text>
        <r>
          <rPr>
            <sz val="10"/>
            <color indexed="81"/>
            <rFont val="Meiryo UI"/>
            <family val="2"/>
          </rPr>
          <t>S42 ECSのPrometheus収集
https://docs.aws.amazon.com/AmazonCloudWatch/latest/monitoring/ContainerInsights-Prometheus-Setup-ECS.html
S43 ECSからAMPへのアプリ指標送信
https://docs.aws.amazon.com/AmazonECS/latest/developerguide/application-metrics-prometheus.html
S63 CloudWatch Embedded Metric Format
https://docs.aws.amazon.com/AmazonCloudWatch/latest/monitoring/CloudWatch_Embedded_Metric_Format.html</t>
        </r>
      </text>
    </comment>
    <comment ref="E17" authorId="0">
      <text>
        <r>
          <rPr>
            <sz val="10"/>
            <color indexed="81"/>
            <rFont val="Meiryo UI"/>
            <family val="2"/>
          </rPr>
          <t>S51 EAP 8.1のdatasource管理
https://docs.redhat.com/en/documentation/red_hat_jboss_enterprise_application_platform/8.1/html/configuration_guide/datasource_management
S62 ECSのawslogs
https://docs.aws.amazon.com/AmazonECS/latest/developerguide/using_awslogs.html
S63 CloudWatch Embedded Metric Format
https://docs.aws.amazon.com/AmazonCloudWatch/latest/monitoring/CloudWatch_Embedded_Metric_Format.html</t>
        </r>
      </text>
    </comment>
    <comment ref="E18" authorId="0">
      <text>
        <r>
          <rPr>
            <sz val="10"/>
            <color indexed="81"/>
            <rFont val="Meiryo UI"/>
            <family val="2"/>
          </rPr>
          <t>S41 CloudWatch agentのJMX収集
https://docs.aws.amazon.com/AmazonCloudWatch/latest/monitoring/CloudWatch-Agent-JMX-metrics.html
S42 ECSのPrometheus収集
https://docs.aws.amazon.com/AmazonCloudWatch/latest/monitoring/ContainerInsights-Prometheus-Setup-ECS.html
S43 ECSからAMPへのアプリ指標送信
https://docs.aws.amazon.com/AmazonECS/latest/developerguide/application-metrics-prometheus.html</t>
        </r>
      </text>
    </comment>
    <comment ref="E19" authorId="0">
      <text>
        <r>
          <rPr>
            <sz val="10"/>
            <color indexed="81"/>
            <rFont val="Meiryo UI"/>
            <family val="2"/>
          </rPr>
          <t>S03 Application Signalsのsidecar設定
https://docs.aws.amazon.com/AmazonCloudWatch/latest/monitoring/CloudWatch-Application-Signals-ECS-Sidecar.html
S40 OpenTelemetry Java対応ライブラリ
https://github.com/open-telemetry/opentelemetry-java-instrumentation/blob/main/docs/supported-libraries.md
S47 EAP 8.1の性能監視
https://docs.redhat.com/en/documentation/red_hat_jboss_enterprise_application_platform/8.1/html/performance_tuning_for_red_hat_jboss_enterprise_application_platform/assembly-monitoring-performance_performance-tuning-guide</t>
        </r>
      </text>
    </comment>
    <comment ref="E20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
S03 Application Signalsのsidecar設定
https://docs.aws.amazon.com/AmazonCloudWatch/latest/monitoring/CloudWatch-Application-Signals-ECS-Sidecar.html
S40 OpenTelemetry Java対応ライブラリ
https://github.com/open-telemetry/opentelemetry-java-instrumentation/blob/main/docs/supported-libraries.md</t>
        </r>
      </text>
    </comment>
  </commentList>
</comments>
</file>

<file path=xl/comments13.xml><?xml version="1.0" encoding="utf-8"?>
<comments xmlns="http://schemas.openxmlformats.org/spreadsheetml/2006/main">
  <authors>
    <author>公式資料</author>
  </authors>
  <commentList>
    <comment ref="A12" authorId="0">
      <text>
        <r>
          <rPr>
            <sz val="10"/>
            <color indexed="81"/>
            <rFont val="Meiryo UI"/>
            <family val="2"/>
          </rPr>
          <t>S03 Application Signalsのsidecar設定
https://docs.aws.amazon.com/AmazonCloudWatch/latest/monitoring/CloudWatch-Application-Signals-ECS-Sidecar.html</t>
        </r>
      </text>
    </comment>
    <comment ref="A29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
S03 Application Signalsのsidecar設定
https://docs.aws.amazon.com/AmazonCloudWatch/latest/monitoring/CloudWatch-Application-Signals-ECS-Sidecar.html</t>
        </r>
      </text>
    </comment>
    <comment ref="A38" authorId="0">
      <text>
        <r>
          <rPr>
            <sz val="10"/>
            <color indexed="81"/>
            <rFont val="Meiryo UI"/>
            <family val="2"/>
          </rPr>
          <t>S47 EAP 8.1の性能監視
https://docs.redhat.com/en/documentation/red_hat_jboss_enterprise_application_platform/8.1/html/performance_tuning_for_red_hat_jboss_enterprise_application_platform/assembly-monitoring-performance_performance-tuning-guide
S50 EAP 8.1の管理属性リファレンス
https://docs.redhat.com/en/documentation/red_hat_jboss_enterprise_application_platform/8.1/html/configuration_guide/reference_material
S51 EAP 8.1のdatasource管理
https://docs.redhat.com/en/documentation/red_hat_jboss_enterprise_application_platform/8.1/html/configuration_guide/datasource_management</t>
        </r>
      </text>
    </comment>
    <comment ref="A44" authorId="0">
      <text>
        <r>
          <rPr>
            <sz val="10"/>
            <color indexed="81"/>
            <rFont val="Meiryo UI"/>
            <family val="2"/>
          </rPr>
          <t>S49 EAP 8.1の接続プール
https://docs.redhat.com/en/documentation/red_hat_jboss_enterprise_application_platform/8.1/html/performance_tuning_for_red_hat_jboss_enterprise_application_platform/assembly-datasource-resource-adapter-tuning_performance-tuning-guide
S51 EAP 8.1のdatasource管理
https://docs.redhat.com/en/documentation/red_hat_jboss_enterprise_application_platform/8.1/html/configuration_guide/datasource_management</t>
        </r>
      </text>
    </comment>
    <comment ref="A49" authorId="0">
      <text>
        <r>
          <rPr>
            <sz val="10"/>
            <color indexed="81"/>
            <rFont val="Meiryo UI"/>
            <family val="2"/>
          </rPr>
          <t>S48 EAP 8.1のJVMチューニング
https://docs.redhat.com/en/documentation/red_hat_jboss_enterprise_application_platform/8.1/html/performance_tuning_for_red_hat_jboss_enterprise_application_platform/assembly-jvm-tuning_performance-tuning-guide
S62 ECSのawslogs
https://docs.aws.amazon.com/AmazonECS/latest/developerguide/using_awslogs.html</t>
        </r>
      </text>
    </comment>
    <comment ref="A58" authorId="0">
      <text>
        <r>
          <rPr>
            <sz val="10"/>
            <color indexed="81"/>
            <rFont val="Meiryo UI"/>
            <family val="2"/>
          </rPr>
          <t>S56 Java 21 jcmd
https://docs.oracle.com/en/java/javase/21/docs/specs/man/jcmd.html
S61 ECS Exec
https://docs.aws.amazon.com/AmazonECS/latest/developerguide/ecs-exec.html</t>
        </r>
      </text>
    </comment>
    <comment ref="A65" authorId="0">
      <text>
        <r>
          <rPr>
            <sz val="10"/>
            <color indexed="81"/>
            <rFont val="Meiryo UI"/>
            <family val="2"/>
          </rPr>
          <t>S56 Java 21 jcmd
https://docs.oracle.com/en/java/javase/21/docs/specs/man/jcmd.html
S57 Java 21 Native Memory Tracking
https://docs.oracle.com/en/java/javase/21/vm/native-memory-tracking.html
S58 Red Hat build of OpenJDK 21の配布
https://docs.redhat.com/en/documentation/red_hat_build_of_openjdk/21/html/getting_started_with_red_hat_build_of_openjdk_21/openjdk-distribution-selection</t>
        </r>
      </text>
    </comment>
    <comment ref="A87" authorId="0">
      <text>
        <r>
          <rPr>
            <sz val="10"/>
            <color indexed="81"/>
            <rFont val="Meiryo UI"/>
            <family val="2"/>
          </rPr>
          <t>S33 CloudWatchのメトリクス概念
https://docs.aws.amazon.com/AmazonCloudWatch/latest/monitoring/cloudwatch_concepts.html
S63 CloudWatch Embedded Metric Format
https://docs.aws.amazon.com/AmazonCloudWatch/latest/monitoring/CloudWatch_Embedded_Metric_Format.html</t>
        </r>
      </text>
    </comment>
    <comment ref="A98" authorId="0">
      <text>
        <r>
          <rPr>
            <sz val="10"/>
            <color indexed="81"/>
            <rFont val="Meiryo UI"/>
            <family val="2"/>
          </rPr>
          <t>S34 CloudWatch Logs Insights
https://docs.aws.amazon.com/AmazonCloudWatch/latest/logs/AnalyzingLogData.html
S35 Logs Insightsのstats
https://docs.aws.amazon.com/AmazonCloudWatch/latest/logs/CWL_QuerySyntax-Stats.html</t>
        </r>
      </text>
    </comment>
    <comment ref="A104" authorId="0">
      <text>
        <r>
          <rPr>
            <sz val="10"/>
            <color indexed="81"/>
            <rFont val="Meiryo UI"/>
            <family val="2"/>
          </rPr>
          <t>S60 JMeter Best Practices
https://jmeter.apache.org/usermanual/best-practices.html</t>
        </r>
      </text>
    </comment>
    <comment ref="A109" authorId="0">
      <text>
        <r>
          <rPr>
            <sz val="10"/>
            <color indexed="81"/>
            <rFont val="Meiryo UI"/>
            <family val="2"/>
          </rPr>
          <t>S60 JMeter Best Practices
https://jmeter.apache.org/usermanual/best-practices.html</t>
        </r>
      </text>
    </comment>
    <comment ref="A121" authorId="0">
      <text>
        <r>
          <rPr>
            <sz val="10"/>
            <color indexed="81"/>
            <rFont val="Meiryo UI"/>
            <family val="2"/>
          </rPr>
          <t>S53 Java 21 MemoryUsage
https://docs.oracle.com/en/java/javase/21/docs/api/java.management/java/lang/management/MemoryUsage.html
S41 CloudWatch agentのJMX収集
https://docs.aws.amazon.com/AmazonCloudWatch/latest/monitoring/CloudWatch-Agent-JMX-metrics.html</t>
        </r>
      </text>
    </comment>
  </commentList>
</comments>
</file>

<file path=xl/comments14.xml><?xml version="1.0" encoding="utf-8"?>
<comments xmlns="http://schemas.openxmlformats.org/spreadsheetml/2006/main">
  <authors>
    <author>公式資料</author>
  </authors>
  <commentList>
    <comment ref="E6" authorId="0">
      <text>
        <r>
          <rPr>
            <sz val="10"/>
            <color indexed="81"/>
            <rFont val="Meiryo UI"/>
            <family val="2"/>
          </rPr>
          <t>S36 CloudWatch Transaction Search
https://docs.aws.amazon.com/AmazonCloudWatch/latest/monitoring/CloudWatch-Transaction-Search.html
S40 OpenTelemetry Java対応ライブラリ
https://github.com/open-telemetry/opentelemetry-java-instrumentation/blob/main/docs/supported-libraries.md</t>
        </r>
      </text>
    </comment>
    <comment ref="E7" authorId="0">
      <text>
        <r>
          <rPr>
            <sz val="10"/>
            <color indexed="81"/>
            <rFont val="Meiryo UI"/>
            <family val="2"/>
          </rPr>
          <t>S59 JMeter用語集
https://jmeter.apache.org/usermanual/glossary.html
S60 JMeter Best Practices
https://jmeter.apache.org/usermanual/best-practices.html
S40 OpenTelemetry Java対応ライブラリ
https://github.com/open-telemetry/opentelemetry-java-instrumentation/blob/main/docs/supported-libraries.md</t>
        </r>
      </text>
    </comment>
    <comment ref="E8" authorId="0">
      <text>
        <r>
          <rPr>
            <sz val="10"/>
            <color indexed="81"/>
            <rFont val="Meiryo UI"/>
            <family val="2"/>
          </rPr>
          <t>S12 ALBのリクエスト追跡
https://docs.aws.amazon.com/elasticloadbalancing/latest/application/load-balancer-request-tracing.html
S03 Application Signalsのsidecar設定
https://docs.aws.amazon.com/AmazonCloudWatch/latest/monitoring/CloudWatch-Application-Signals-ECS-Sidecar.html</t>
        </r>
      </text>
    </comment>
    <comment ref="E9" authorId="0">
      <text>
        <r>
          <rPr>
            <sz val="10"/>
            <color indexed="81"/>
            <rFont val="Meiryo UI"/>
            <family val="2"/>
          </rPr>
          <t>S15 HTTP API Gateway指標
https://docs.aws.amazon.com/apigateway/latest/developerguide/http-api-metrics.html
S16 API Gateway REST APIのX-Ray
https://docs.aws.amazon.com/apigateway/latest/developerguide/apigateway-xray.html</t>
        </r>
      </text>
    </comment>
    <comment ref="E10" authorId="0">
      <text>
        <r>
          <rPr>
            <sz val="10"/>
            <color indexed="81"/>
            <rFont val="Meiryo UI"/>
            <family val="2"/>
          </rPr>
          <t>S20 Database Insightsインスタンス画面
https://docs.aws.amazon.com/AmazonCloudWatch/latest/monitoring/Database-Insights-Database-Instance-Dashboard.html
S40 OpenTelemetry Java対応ライブラリ
https://github.com/open-telemetry/opentelemetry-java-instrumentation/blob/main/docs/supported-libraries.md</t>
        </r>
      </text>
    </comment>
    <comment ref="E11" authorId="0">
      <text>
        <r>
          <rPr>
            <sz val="10"/>
            <color indexed="81"/>
            <rFont val="Meiryo UI"/>
            <family val="2"/>
          </rPr>
          <t>S40 OpenTelemetry Java対応ライブラリ
https://github.com/open-telemetry/opentelemetry-java-instrumentation/blob/main/docs/supported-libraries.md
S50 EAP 8.1の管理属性リファレンス
https://docs.redhat.com/en/documentation/red_hat_jboss_enterprise_application_platform/8.1/html/configuration_guide/reference_material</t>
        </r>
      </text>
    </comment>
    <comment ref="E12" authorId="0">
      <text>
        <r>
          <rPr>
            <sz val="10"/>
            <color indexed="81"/>
            <rFont val="Meiryo UI"/>
            <family val="2"/>
          </rPr>
          <t>S36 CloudWatch Transaction Search
https://docs.aws.amazon.com/AmazonCloudWatch/latest/monitoring/CloudWatch-Transaction-Search.html</t>
        </r>
      </text>
    </comment>
    <comment ref="E13" authorId="0">
      <text>
        <r>
          <rPr>
            <sz val="10"/>
            <color indexed="81"/>
            <rFont val="Meiryo UI"/>
            <family val="2"/>
          </rPr>
          <t>S03 Application Signalsのsidecar設定
https://docs.aws.amazon.com/AmazonCloudWatch/latest/monitoring/CloudWatch-Application-Signals-ECS-Sidecar.html
S37 Transaction Searchの有効化
https://docs.aws.amazon.com/AmazonCloudWatch/latest/monitoring/Enable-TransactionSearch.html</t>
        </r>
      </text>
    </comment>
    <comment ref="E14" authorId="0">
      <text>
        <r>
          <rPr>
            <sz val="10"/>
            <color indexed="81"/>
            <rFont val="Meiryo UI"/>
            <family val="2"/>
          </rPr>
          <t>S36 CloudWatch Transaction Search
https://docs.aws.amazon.com/AmazonCloudWatch/latest/monitoring/CloudWatch-Transaction-Search.html
S37 Transaction Searchの有効化
https://docs.aws.amazon.com/AmazonCloudWatch/latest/monitoring/Enable-TransactionSearch.html</t>
        </r>
      </text>
    </comment>
    <comment ref="E15" authorId="0">
      <text>
        <r>
          <rPr>
            <sz val="10"/>
            <color indexed="81"/>
            <rFont val="Meiryo UI"/>
            <family val="2"/>
          </rPr>
          <t>S28 SQSの指標
https://docs.aws.amazon.com/AWSSimpleQueueService/latest/SQSDeveloperGuide/sqs-available-cloudwatch-metrics.html
S40 OpenTelemetry Java対応ライブラリ
https://github.com/open-telemetry/opentelemetry-java-instrumentation/blob/main/docs/supported-libraries.md</t>
        </r>
      </text>
    </comment>
    <comment ref="E16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
S05 ECS Enhanced Container Insights指標
https://docs.aws.amazon.com/AmazonCloudWatch/latest/monitoring/Container-Insights-enhanced-observability-metrics-ECS.html</t>
        </r>
      </text>
    </comment>
    <comment ref="E17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
S60 JMeter Best Practices
https://jmeter.apache.org/usermanual/best-practices.html</t>
        </r>
      </text>
    </comment>
  </commentList>
</comments>
</file>

<file path=xl/comments15.xml><?xml version="1.0" encoding="utf-8"?>
<comments xmlns="http://schemas.openxmlformats.org/spreadsheetml/2006/main">
  <authors>
    <author>公式資料</author>
  </authors>
  <commentList>
    <comment ref="E6" authorId="0">
      <text>
        <r>
          <rPr>
            <sz val="10"/>
            <color indexed="81"/>
            <rFont val="Meiryo UI"/>
            <family val="2"/>
          </rPr>
          <t>S59 JMeter用語集
https://jmeter.apache.org/usermanual/glossary.html</t>
        </r>
      </text>
    </comment>
    <comment ref="E7" authorId="0">
      <text>
        <r>
          <rPr>
            <sz val="10"/>
            <color indexed="81"/>
            <rFont val="Meiryo UI"/>
            <family val="2"/>
          </rPr>
          <t>S59 JMeter用語集
https://jmeter.apache.org/usermanual/glossary.html
S60 JMeter Best Practices
https://jmeter.apache.org/usermanual/best-practices.html</t>
        </r>
      </text>
    </comment>
    <comment ref="E8" authorId="0">
      <text>
        <r>
          <rPr>
            <sz val="10"/>
            <color indexed="81"/>
            <rFont val="Meiryo UI"/>
            <family val="2"/>
          </rPr>
          <t>S60 JMeter Best Practices
https://jmeter.apache.org/usermanual/best-practices.html</t>
        </r>
      </text>
    </comment>
    <comment ref="E10" authorId="0">
      <text>
        <r>
          <rPr>
            <sz val="10"/>
            <color indexed="81"/>
            <rFont val="Meiryo UI"/>
            <family val="2"/>
          </rPr>
          <t>S48 EAP 8.1のJVMチューニング
https://docs.redhat.com/en/documentation/red_hat_jboss_enterprise_application_platform/8.1/html/performance_tuning_for_red_hat_jboss_enterprise_application_platform/assembly-jvm-tuning_performance-tuning-guide
S49 EAP 8.1の接続プール
https://docs.redhat.com/en/documentation/red_hat_jboss_enterprise_application_platform/8.1/html/performance_tuning_for_red_hat_jboss_enterprise_application_platform/assembly-datasource-resource-adapter-tuning_performance-tuning-guide</t>
        </r>
      </text>
    </comment>
    <comment ref="E11" authorId="0">
      <text>
        <r>
          <rPr>
            <sz val="10"/>
            <color indexed="81"/>
            <rFont val="Meiryo UI"/>
            <family val="2"/>
          </rPr>
          <t>S60 JMeter Best Practices
https://jmeter.apache.org/usermanual/best-practices.html</t>
        </r>
      </text>
    </comment>
    <comment ref="E12" authorId="0">
      <text>
        <r>
          <rPr>
            <sz val="10"/>
            <color indexed="81"/>
            <rFont val="Meiryo UI"/>
            <family val="2"/>
          </rPr>
          <t>S60 JMeter Best Practices
https://jmeter.apache.org/usermanual/best-practices.html</t>
        </r>
      </text>
    </comment>
    <comment ref="E13" authorId="0">
      <text>
        <r>
          <rPr>
            <sz val="10"/>
            <color indexed="81"/>
            <rFont val="Meiryo UI"/>
            <family val="2"/>
          </rPr>
          <t>S33 CloudWatchのメトリクス概念
https://docs.aws.amazon.com/AmazonCloudWatch/latest/monitoring/cloudwatch_concepts.html</t>
        </r>
      </text>
    </comment>
    <comment ref="E14" authorId="0">
      <text>
        <r>
          <rPr>
            <sz val="10"/>
            <color indexed="81"/>
            <rFont val="Meiryo UI"/>
            <family val="2"/>
          </rPr>
          <t>S63 CloudWatch Embedded Metric Format
https://docs.aws.amazon.com/AmazonCloudWatch/latest/monitoring/CloudWatch_Embedded_Metric_Format.html</t>
        </r>
      </text>
    </comment>
    <comment ref="E16" authorId="0">
      <text>
        <r>
          <rPr>
            <sz val="10"/>
            <color indexed="81"/>
            <rFont val="Meiryo UI"/>
            <family val="2"/>
          </rPr>
          <t>S11 ALBアクセスログ
https://docs.aws.amazon.com/elasticloadbalancing/latest/application/load-balancer-access-logs.html
S40 OpenTelemetry Java対応ライブラリ
https://github.com/open-telemetry/opentelemetry-java-instrumentation/blob/main/docs/supported-libraries.md</t>
        </r>
      </text>
    </comment>
    <comment ref="E17" authorId="0">
      <text>
        <r>
          <rPr>
            <sz val="10"/>
            <color indexed="81"/>
            <rFont val="Meiryo UI"/>
            <family val="2"/>
          </rPr>
          <t>S59 JMeter用語集
https://jmeter.apache.org/usermanual/glossary.html</t>
        </r>
      </text>
    </comment>
    <comment ref="E18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
S10 ALBのCloudWatch指標
https://docs.aws.amazon.com/elasticloadbalancing/latest/application/load-balancer-cloudwatch-metrics.html
S59 JMeter用語集
https://jmeter.apache.org/usermanual/glossary.html</t>
        </r>
      </text>
    </comment>
  </commentList>
</comments>
</file>

<file path=xl/comments16.xml><?xml version="1.0" encoding="utf-8"?>
<comments xmlns="http://schemas.openxmlformats.org/spreadsheetml/2006/main">
  <authors>
    <author>公式資料</author>
  </authors>
  <commentList>
    <comment ref="E7" authorId="0">
      <text>
        <r>
          <rPr>
            <sz val="10"/>
            <color indexed="81"/>
            <rFont val="Meiryo UI"/>
            <family val="2"/>
          </rPr>
          <t>S02 Application SignalsをECSで有効化
https://docs.aws.amazon.com/AmazonCloudWatch/latest/monitoring/CloudWatch-Application-Signals-Enable-ECSMain.html
S45 EAP 8のサポート構成
https://access.redhat.com/articles/6961381</t>
        </r>
      </text>
    </comment>
    <comment ref="E8" authorId="0">
      <text>
        <r>
          <rPr>
            <sz val="10"/>
            <color indexed="81"/>
            <rFont val="Meiryo UI"/>
            <family val="2"/>
          </rPr>
          <t>S48 EAP 8.1のJVMチューニング
https://docs.redhat.com/en/documentation/red_hat_jboss_enterprise_application_platform/8.1/html/performance_tuning_for_red_hat_jboss_enterprise_application_platform/assembly-jvm-tuning_performance-tuning-guide
S49 EAP 8.1の接続プール
https://docs.redhat.com/en/documentation/red_hat_jboss_enterprise_application_platform/8.1/html/performance_tuning_for_red_hat_jboss_enterprise_application_platform/assembly-datasource-resource-adapter-tuning_performance-tuning-guide
S56 Java 21 jcmd
https://docs.oracle.com/en/java/javase/21/docs/specs/man/jcmd.html</t>
        </r>
      </text>
    </comment>
    <comment ref="E9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
S08 Container Insightsの設定
https://docs.aws.amazon.com/AmazonCloudWatch/latest/monitoring/deploy-container-insights-ECS-cluster.html
S19 CloudWatch Database Insights
https://docs.aws.amazon.com/AmazonCloudWatch/latest/monitoring/Database-Insights.html</t>
        </r>
      </text>
    </comment>
    <comment ref="E10" authorId="0">
      <text>
        <r>
          <rPr>
            <sz val="10"/>
            <color indexed="81"/>
            <rFont val="Meiryo UI"/>
            <family val="2"/>
          </rPr>
          <t>S36 CloudWatch Transaction Search
https://docs.aws.amazon.com/AmazonCloudWatch/latest/monitoring/CloudWatch-Transaction-Search.html
S59 JMeter用語集
https://jmeter.apache.org/usermanual/glossary.html</t>
        </r>
      </text>
    </comment>
    <comment ref="E12" authorId="0">
      <text>
        <r>
          <rPr>
            <sz val="10"/>
            <color indexed="81"/>
            <rFont val="Meiryo UI"/>
            <family val="2"/>
          </rPr>
          <t>S48 EAP 8.1のJVMチューニング
https://docs.redhat.com/en/documentation/red_hat_jboss_enterprise_application_platform/8.1/html/performance_tuning_for_red_hat_jboss_enterprise_application_platform/assembly-jvm-tuning_performance-tuning-guide
S49 EAP 8.1の接続プール
https://docs.redhat.com/en/documentation/red_hat_jboss_enterprise_application_platform/8.1/html/performance_tuning_for_red_hat_jboss_enterprise_application_platform/assembly-datasource-resource-adapter-tuning_performance-tuning-guide</t>
        </r>
      </text>
    </comment>
    <comment ref="E15" authorId="0">
      <text>
        <r>
          <rPr>
            <sz val="10"/>
            <color indexed="81"/>
            <rFont val="Meiryo UI"/>
            <family val="2"/>
          </rPr>
          <t>S17 RDSのCloudWatch指標
https://docs.aws.amazon.com/AmazonRDS/latest/UserGuide/rds-metrics.html
S48 EAP 8.1のJVMチューニング
https://docs.redhat.com/en/documentation/red_hat_jboss_enterprise_application_platform/8.1/html/performance_tuning_for_red_hat_jboss_enterprise_application_platform/assembly-jvm-tuning_performance-tuning-guide</t>
        </r>
      </text>
    </comment>
    <comment ref="E16" authorId="0">
      <text>
        <r>
          <rPr>
            <sz val="10"/>
            <color indexed="81"/>
            <rFont val="Meiryo UI"/>
            <family val="2"/>
          </rPr>
          <t>S07 ECSサービス使用率と高解像度指標
https://docs.aws.amazon.com/AmazonECS/latest/developerguide/service_utilization.html
S81 ECSの20秒指標の発表
https://aws.amazon.com/about-aws/whats-new/2026/06/amazon-ecs-faster-autoscaling/</t>
        </r>
      </text>
    </comment>
    <comment ref="E19" authorId="0">
      <text>
        <r>
          <rPr>
            <sz val="10"/>
            <color indexed="81"/>
            <rFont val="Meiryo UI"/>
            <family val="2"/>
          </rPr>
          <t>S20 Database Insightsインスタンス画面
https://docs.aws.amazon.com/AmazonCloudWatch/latest/monitoring/Database-Insights-Database-Instance-Dashboard.html
S36 CloudWatch Transaction Search
https://docs.aws.amazon.com/AmazonCloudWatch/latest/monitoring/CloudWatch-Transaction-Search.html</t>
        </r>
      </text>
    </comment>
  </commentList>
</comments>
</file>

<file path=xl/comments17.xml><?xml version="1.0" encoding="utf-8"?>
<comments xmlns="http://schemas.openxmlformats.org/spreadsheetml/2006/main">
  <authors>
    <author>公式資料</author>
  </authors>
  <commentList>
    <comment ref="E6" authorId="0">
      <text>
        <r>
          <rPr>
            <sz val="10"/>
            <color indexed="81"/>
            <rFont val="Meiryo UI"/>
            <family val="2"/>
          </rPr>
          <t>S10 ALBのCloudWatch指標
https://docs.aws.amazon.com/elasticloadbalancing/latest/application/load-balancer-cloudwatch-metrics.html
S59 JMeter用語集
https://jmeter.apache.org/usermanual/glossary.html
S60 JMeter Best Practices
https://jmeter.apache.org/usermanual/best-practices.html</t>
        </r>
      </text>
    </comment>
    <comment ref="E7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
S05 ECS Enhanced Container Insights指標
https://docs.aws.amazon.com/AmazonCloudWatch/latest/monitoring/Container-Insights-enhanced-observability-metrics-ECS.html
S56 Java 21 jcmd
https://docs.oracle.com/en/java/javase/21/docs/specs/man/jcmd.html</t>
        </r>
      </text>
    </comment>
    <comment ref="E8" authorId="0">
      <text>
        <r>
          <rPr>
            <sz val="10"/>
            <color indexed="81"/>
            <rFont val="Meiryo UI"/>
            <family val="2"/>
          </rPr>
          <t>S20 Database Insightsインスタンス画面
https://docs.aws.amazon.com/AmazonCloudWatch/latest/monitoring/Database-Insights-Database-Instance-Dashboard.html
S40 OpenTelemetry Java対応ライブラリ
https://github.com/open-telemetry/opentelemetry-java-instrumentation/blob/main/docs/supported-libraries.md
S50 EAP 8.1の管理属性リファレンス
https://docs.redhat.com/en/documentation/red_hat_jboss_enterprise_application_platform/8.1/html/configuration_guide/reference_material</t>
        </r>
      </text>
    </comment>
    <comment ref="E9" authorId="0">
      <text>
        <r>
          <rPr>
            <sz val="10"/>
            <color indexed="81"/>
            <rFont val="Meiryo UI"/>
            <family val="2"/>
          </rPr>
          <t>S48 EAP 8.1のJVMチューニング
https://docs.redhat.com/en/documentation/red_hat_jboss_enterprise_application_platform/8.1/html/performance_tuning_for_red_hat_jboss_enterprise_application_platform/assembly-jvm-tuning_performance-tuning-guide</t>
        </r>
      </text>
    </comment>
    <comment ref="E10" authorId="0">
      <text>
        <r>
          <rPr>
            <sz val="10"/>
            <color indexed="81"/>
            <rFont val="Meiryo UI"/>
            <family val="2"/>
          </rPr>
          <t>S48 EAP 8.1のJVMチューニング
https://docs.redhat.com/en/documentation/red_hat_jboss_enterprise_application_platform/8.1/html/performance_tuning_for_red_hat_jboss_enterprise_application_platform/assembly-jvm-tuning_performance-tuning-guide
S56 Java 21 jcmd
https://docs.oracle.com/en/java/javase/21/docs/specs/man/jcmd.html</t>
        </r>
      </text>
    </comment>
    <comment ref="E11" authorId="0">
      <text>
        <r>
          <rPr>
            <sz val="10"/>
            <color indexed="81"/>
            <rFont val="Meiryo UI"/>
            <family val="2"/>
          </rPr>
          <t>S05 ECS Enhanced Container Insights指標
https://docs.aws.amazon.com/AmazonCloudWatch/latest/monitoring/Container-Insights-enhanced-observability-metrics-ECS.html
S54 Java 21 MemoryMXBean
https://docs.oracle.com/en/java/javase/21/docs/api/java.management/java/lang/management/MemoryMXBean.html
S57 Java 21 Native Memory Tracking
https://docs.oracle.com/en/java/javase/21/vm/native-memory-tracking.html</t>
        </r>
      </text>
    </comment>
    <comment ref="E12" authorId="0">
      <text>
        <r>
          <rPr>
            <sz val="10"/>
            <color indexed="81"/>
            <rFont val="Meiryo UI"/>
            <family val="2"/>
          </rPr>
          <t>S05 ECS Enhanced Container Insights指標
https://docs.aws.amazon.com/AmazonCloudWatch/latest/monitoring/Container-Insights-enhanced-observability-metrics-ECS.html
S09 Container InsightsのECS概要
https://docs.aws.amazon.com/AmazonECS/latest/developerguide/cloudwatch-container-insights.html
S61 ECS Exec
https://docs.aws.amazon.com/AmazonECS/latest/developerguide/ecs-exec.html</t>
        </r>
      </text>
    </comment>
    <comment ref="E13" authorId="0">
      <text>
        <r>
          <rPr>
            <sz val="10"/>
            <color indexed="81"/>
            <rFont val="Meiryo UI"/>
            <family val="2"/>
          </rPr>
          <t>S17 RDSのCloudWatch指標
https://docs.aws.amazon.com/AmazonRDS/latest/UserGuide/rds-metrics.html
S20 Database Insightsインスタンス画面
https://docs.aws.amazon.com/AmazonCloudWatch/latest/monitoring/Database-Insights-Database-Instance-Dashboard.html
S23 RDS Proxyの指標
https://docs.aws.amazon.com/AmazonRDS/latest/UserGuide/rds-proxy.monitoring.html</t>
        </r>
      </text>
    </comment>
    <comment ref="E14" authorId="0">
      <text>
        <r>
          <rPr>
            <sz val="10"/>
            <color indexed="81"/>
            <rFont val="Meiryo UI"/>
            <family val="2"/>
          </rPr>
          <t>S49 EAP 8.1の接続プール
https://docs.redhat.com/en/documentation/red_hat_jboss_enterprise_application_platform/8.1/html/performance_tuning_for_red_hat_jboss_enterprise_application_platform/assembly-datasource-resource-adapter-tuning_performance-tuning-guide
S50 EAP 8.1の管理属性リファレンス
https://docs.redhat.com/en/documentation/red_hat_jboss_enterprise_application_platform/8.1/html/configuration_guide/reference_material</t>
        </r>
      </text>
    </comment>
    <comment ref="E15" authorId="0">
      <text>
        <r>
          <rPr>
            <sz val="10"/>
            <color indexed="81"/>
            <rFont val="Meiryo UI"/>
            <family val="2"/>
          </rPr>
          <t>S14 REST API Gateway指標
https://docs.aws.amazon.com/apigateway/latest/developerguide/api-gateway-metrics-and-dimensions.html
S26 WAFの指標
https://docs.aws.amazon.com/waf/latest/developerguide/waf-metrics.html
S60 JMeter Best Practices
https://jmeter.apache.org/usermanual/best-practices.html</t>
        </r>
      </text>
    </comment>
    <comment ref="E16" authorId="0">
      <text>
        <r>
          <rPr>
            <sz val="10"/>
            <color indexed="81"/>
            <rFont val="Meiryo UI"/>
            <family val="2"/>
          </rPr>
          <t>S05 ECS Enhanced Container Insights指標
https://docs.aws.amazon.com/AmazonCloudWatch/latest/monitoring/Container-Insights-enhanced-observability-metrics-ECS.html
S10 ALBのCloudWatch指標
https://docs.aws.amazon.com/elasticloadbalancing/latest/application/load-balancer-cloudwatch-metrics.html
S49 EAP 8.1の接続プール
https://docs.redhat.com/en/documentation/red_hat_jboss_enterprise_application_platform/8.1/html/performance_tuning_for_red_hat_jboss_enterprise_application_platform/assembly-datasource-resource-adapter-tuning_performance-tuning-guide</t>
        </r>
      </text>
    </comment>
    <comment ref="E17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
S03 Application Signalsのsidecar設定
https://docs.aws.amazon.com/AmazonCloudWatch/latest/monitoring/CloudWatch-Application-Signals-ECS-Sidecar.html
S33 CloudWatchのメトリクス概念
https://docs.aws.amazon.com/AmazonCloudWatch/latest/monitoring/cloudwatch_concepts.html</t>
        </r>
      </text>
    </comment>
    <comment ref="E18" authorId="0">
      <text>
        <r>
          <rPr>
            <sz val="10"/>
            <color indexed="81"/>
            <rFont val="Meiryo UI"/>
            <family val="2"/>
          </rPr>
          <t>S28 SQSの指標
https://docs.aws.amazon.com/AWSSimpleQueueService/latest/SQSDeveloperGuide/sqs-available-cloudwatch-metrics.html
S36 CloudWatch Transaction Search
https://docs.aws.amazon.com/AmazonCloudWatch/latest/monitoring/CloudWatch-Transaction-Search.html</t>
        </r>
      </text>
    </comment>
    <comment ref="E19" authorId="0">
      <text>
        <r>
          <rPr>
            <sz val="10"/>
            <color indexed="81"/>
            <rFont val="Meiryo UI"/>
            <family val="2"/>
          </rPr>
          <t>S03 Application Signalsのsidecar設定
https://docs.aws.amazon.com/AmazonCloudWatch/latest/monitoring/CloudWatch-Application-Signals-ECS-Sidecar.html
S05 ECS Enhanced Container Insights指標
https://docs.aws.amazon.com/AmazonCloudWatch/latest/monitoring/Container-Insights-enhanced-observability-metrics-ECS.html
S63 CloudWatch Embedded Metric Format
https://docs.aws.amazon.com/AmazonCloudWatch/latest/monitoring/CloudWatch_Embedded_Metric_Format.html</t>
        </r>
      </text>
    </comment>
  </commentList>
</comments>
</file>

<file path=xl/comments18.xml><?xml version="1.0" encoding="utf-8"?>
<comments xmlns="http://schemas.openxmlformats.org/spreadsheetml/2006/main">
  <authors>
    <author>公式資料</author>
  </authors>
  <commentList>
    <comment ref="E6" authorId="0">
      <text>
        <r>
          <rPr>
            <sz val="10"/>
            <color indexed="81"/>
            <rFont val="Meiryo UI"/>
            <family val="2"/>
          </rPr>
          <t>S59 JMeter用語集
https://jmeter.apache.org/usermanual/glossary.html
S60 JMeter Best Practices
https://jmeter.apache.org/usermanual/best-practices.html</t>
        </r>
      </text>
    </comment>
    <comment ref="E7" authorId="0">
      <text>
        <r>
          <rPr>
            <sz val="10"/>
            <color indexed="81"/>
            <rFont val="Meiryo UI"/>
            <family val="2"/>
          </rPr>
          <t>S10 ALBのCloudWatch指標
https://docs.aws.amazon.com/elasticloadbalancing/latest/application/load-balancer-cloudwatch-metrics.html</t>
        </r>
      </text>
    </comment>
    <comment ref="E8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</t>
        </r>
      </text>
    </comment>
    <comment ref="E9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</t>
        </r>
      </text>
    </comment>
    <comment ref="E10" authorId="0">
      <text>
        <r>
          <rPr>
            <sz val="10"/>
            <color indexed="81"/>
            <rFont val="Meiryo UI"/>
            <family val="2"/>
          </rPr>
          <t>S05 ECS Enhanced Container Insights指標
https://docs.aws.amazon.com/AmazonCloudWatch/latest/monitoring/Container-Insights-enhanced-observability-metrics-ECS.html
S07 ECSサービス使用率と高解像度指標
https://docs.aws.amazon.com/AmazonECS/latest/developerguide/service_utilization.html</t>
        </r>
      </text>
    </comment>
    <comment ref="E11" authorId="0">
      <text>
        <r>
          <rPr>
            <sz val="10"/>
            <color indexed="81"/>
            <rFont val="Meiryo UI"/>
            <family val="2"/>
          </rPr>
          <t>S05 ECS Enhanced Container Insights指標
https://docs.aws.amazon.com/AmazonCloudWatch/latest/monitoring/Container-Insights-enhanced-observability-metrics-ECS.html</t>
        </r>
      </text>
    </comment>
    <comment ref="E12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
S53 Java 21 MemoryUsage
https://docs.oracle.com/en/java/javase/21/docs/api/java.management/java/lang/management/MemoryUsage.html</t>
        </r>
      </text>
    </comment>
    <comment ref="E13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
S48 EAP 8.1のJVMチューニング
https://docs.redhat.com/en/documentation/red_hat_jboss_enterprise_application_platform/8.1/html/performance_tuning_for_red_hat_jboss_enterprise_application_platform/assembly-jvm-tuning_performance-tuning-guide</t>
        </r>
      </text>
    </comment>
    <comment ref="E14" authorId="0">
      <text>
        <r>
          <rPr>
            <sz val="10"/>
            <color indexed="81"/>
            <rFont val="Meiryo UI"/>
            <family val="2"/>
          </rPr>
          <t>S50 EAP 8.1の管理属性リファレンス
https://docs.redhat.com/en/documentation/red_hat_jboss_enterprise_application_platform/8.1/html/configuration_guide/reference_material</t>
        </r>
      </text>
    </comment>
    <comment ref="E15" authorId="0">
      <text>
        <r>
          <rPr>
            <sz val="10"/>
            <color indexed="81"/>
            <rFont val="Meiryo UI"/>
            <family val="2"/>
          </rPr>
          <t>S17 RDSのCloudWatch指標
https://docs.aws.amazon.com/AmazonRDS/latest/UserGuide/rds-metrics.html
S20 Database Insightsインスタンス画面
https://docs.aws.amazon.com/AmazonCloudWatch/latest/monitoring/Database-Insights-Database-Instance-Dashboard.html
S23 RDS Proxyの指標
https://docs.aws.amazon.com/AmazonRDS/latest/UserGuide/rds-proxy.monitoring.html</t>
        </r>
      </text>
    </comment>
    <comment ref="E16" authorId="0">
      <text>
        <r>
          <rPr>
            <sz val="10"/>
            <color indexed="81"/>
            <rFont val="Meiryo UI"/>
            <family val="2"/>
          </rPr>
          <t>S24 ElastiCache Valkey/Redis OSS指標
https://docs.aws.amazon.com/AmazonElastiCache/latest/dg/CacheMetrics.Redis.html
S26 WAFの指標
https://docs.aws.amazon.com/waf/latest/developerguide/waf-metrics.html
S27 NAT Gatewayの指標
https://docs.aws.amazon.com/vpc/latest/userguide/metrics-dimensions-nat-gateway.html
S28 SQSの指標
https://docs.aws.amazon.com/AWSSimpleQueueService/latest/SQSDeveloperGuide/sqs-available-cloudwatch-metrics.html</t>
        </r>
      </text>
    </comment>
    <comment ref="E17" authorId="0">
      <text>
        <r>
          <rPr>
            <sz val="10"/>
            <color indexed="81"/>
            <rFont val="Meiryo UI"/>
            <family val="2"/>
          </rPr>
          <t>S09 Container InsightsのECS概要
https://docs.aws.amazon.com/AmazonECS/latest/developerguide/cloudwatch-container-insights.html
S34 CloudWatch Logs Insights
https://docs.aws.amazon.com/AmazonCloudWatch/latest/logs/AnalyzingLogData.html
S36 CloudWatch Transaction Search
https://docs.aws.amazon.com/AmazonCloudWatch/latest/monitoring/CloudWatch-Transaction-Search.html</t>
        </r>
      </text>
    </comment>
    <comment ref="E18" authorId="0">
      <text>
        <r>
          <rPr>
            <sz val="10"/>
            <color indexed="81"/>
            <rFont val="Meiryo UI"/>
            <family val="2"/>
          </rPr>
          <t>S03 Application Signalsのsidecar設定
https://docs.aws.amazon.com/AmazonCloudWatch/latest/monitoring/CloudWatch-Application-Signals-ECS-Sidecar.html
S05 ECS Enhanced Container Insights指標
https://docs.aws.amazon.com/AmazonCloudWatch/latest/monitoring/Container-Insights-enhanced-observability-metrics-ECS.html
S60 JMeter Best Practices
https://jmeter.apache.org/usermanual/best-practices.html</t>
        </r>
      </text>
    </comment>
  </commentList>
</comments>
</file>

<file path=xl/comments19.xml><?xml version="1.0" encoding="utf-8"?>
<comments xmlns="http://schemas.openxmlformats.org/spreadsheetml/2006/main">
  <authors>
    <author>公式資料</author>
  </authors>
  <commentList>
    <comment ref="E6" authorId="0">
      <text>
        <r>
          <rPr>
            <sz val="10"/>
            <color indexed="81"/>
            <rFont val="Meiryo UI"/>
            <family val="2"/>
          </rPr>
          <t>S64 CloudWatch料金
https://aws.amazon.com/cloudwatch/pricing/</t>
        </r>
      </text>
    </comment>
    <comment ref="E7" authorId="0">
      <text>
        <r>
          <rPr>
            <sz val="10"/>
            <color indexed="81"/>
            <rFont val="Meiryo UI"/>
            <family val="2"/>
          </rPr>
          <t>S33 CloudWatchのメトリクス概念
https://docs.aws.amazon.com/AmazonCloudWatch/latest/monitoring/cloudwatch_concepts.html
S63 CloudWatch Embedded Metric Format
https://docs.aws.amazon.com/AmazonCloudWatch/latest/monitoring/CloudWatch_Embedded_Metric_Format.html</t>
        </r>
      </text>
    </comment>
    <comment ref="E8" authorId="0">
      <text>
        <r>
          <rPr>
            <sz val="10"/>
            <color indexed="81"/>
            <rFont val="Meiryo UI"/>
            <family val="2"/>
          </rPr>
          <t>S33 CloudWatchのメトリクス概念
https://docs.aws.amazon.com/AmazonCloudWatch/latest/monitoring/cloudwatch_concepts.html
S19 CloudWatch Database Insights
https://docs.aws.amazon.com/AmazonCloudWatch/latest/monitoring/Database-Insights.html</t>
        </r>
      </text>
    </comment>
    <comment ref="E9" authorId="0">
      <text>
        <r>
          <rPr>
            <sz val="10"/>
            <color indexed="81"/>
            <rFont val="Meiryo UI"/>
            <family val="2"/>
          </rPr>
          <t>S56 Java 21 jcmd
https://docs.oracle.com/en/java/javase/21/docs/specs/man/jcmd.html
S57 Java 21 Native Memory Tracking
https://docs.oracle.com/en/java/javase/21/vm/native-memory-tracking.html
S60 JMeter Best Practices
https://jmeter.apache.org/usermanual/best-practices.html</t>
        </r>
      </text>
    </comment>
    <comment ref="E10" authorId="0">
      <text>
        <r>
          <rPr>
            <sz val="10"/>
            <color indexed="81"/>
            <rFont val="Meiryo UI"/>
            <family val="2"/>
          </rPr>
          <t>S03 Application Signalsのsidecar設定
https://docs.aws.amazon.com/AmazonCloudWatch/latest/monitoring/CloudWatch-Application-Signals-ECS-Sidecar.html
S62 ECSのawslogs
https://docs.aws.amazon.com/AmazonECS/latest/developerguide/using_awslogs.html</t>
        </r>
      </text>
    </comment>
    <comment ref="E11" authorId="0">
      <text>
        <r>
          <rPr>
            <sz val="10"/>
            <color indexed="81"/>
            <rFont val="Meiryo UI"/>
            <family val="2"/>
          </rPr>
          <t>S36 CloudWatch Transaction Search
https://docs.aws.amazon.com/AmazonCloudWatch/latest/monitoring/CloudWatch-Transaction-Search.html
S56 Java 21 jcmd
https://docs.oracle.com/en/java/javase/21/docs/specs/man/jcmd.html</t>
        </r>
      </text>
    </comment>
    <comment ref="E12" authorId="0">
      <text>
        <r>
          <rPr>
            <sz val="10"/>
            <color indexed="81"/>
            <rFont val="Meiryo UI"/>
            <family val="2"/>
          </rPr>
          <t>S41 CloudWatch agentのJMX収集
https://docs.aws.amazon.com/AmazonCloudWatch/latest/monitoring/CloudWatch-Agent-JMX-metrics.html
S42 ECSのPrometheus収集
https://docs.aws.amazon.com/AmazonCloudWatch/latest/monitoring/ContainerInsights-Prometheus-Setup-ECS.html
S44 Prometheus JMX Exporter Java agent
https://prometheus.github.io/jmx_exporter/deployment/java-agent/</t>
        </r>
      </text>
    </comment>
    <comment ref="E13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
S40 OpenTelemetry Java対応ライブラリ
https://github.com/open-telemetry/opentelemetry-java-instrumentation/blob/main/docs/supported-libraries.md
S45 EAP 8のサポート構成
https://access.redhat.com/articles/6961381</t>
        </r>
      </text>
    </comment>
    <comment ref="E14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
S78 Application Signals一般提供
https://aws.amazon.com/about-aws/whats-new/2024/06/amazon-cloudwatch-application-signals-application-monitoring/</t>
        </r>
      </text>
    </comment>
    <comment ref="E15" authorId="0">
      <text>
        <r>
          <rPr>
            <sz val="10"/>
            <color indexed="81"/>
            <rFont val="Meiryo UI"/>
            <family val="2"/>
          </rPr>
          <t>S07 ECSサービス使用率と高解像度指標
https://docs.aws.amazon.com/AmazonECS/latest/developerguide/service_utilization.html
S13 ALBのCloudWatch Logs連携
https://docs.aws.amazon.com/elasticloadbalancing/latest/application/load-balancer-cloudwatch-logs.html
S19 CloudWatch Database Insights
https://docs.aws.amazon.com/AmazonCloudWatch/latest/monitoring/Database-Insights.html
S38 X-Ray SDK/daemonのサポート日程
https://docs.aws.amazon.com/xray/latest/devguide/xray-sdk-daemon-timeline.html</t>
        </r>
      </text>
    </comment>
  </commentList>
</comments>
</file>

<file path=xl/comments20.xml><?xml version="1.0" encoding="utf-8"?>
<comments xmlns="http://schemas.openxmlformats.org/spreadsheetml/2006/main">
  <authors>
    <author>公式資料</author>
  </authors>
  <commentList>
    <comment ref="E6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
S05 ECS Enhanced Container Insights指標
https://docs.aws.amazon.com/AmazonCloudWatch/latest/monitoring/Container-Insights-enhanced-observability-metrics-ECS.html
S53 Java 21 MemoryUsage
https://docs.oracle.com/en/java/javase/21/docs/api/java.management/java/lang/management/MemoryUsage.html</t>
        </r>
      </text>
    </comment>
    <comment ref="E7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
S05 ECS Enhanced Container Insights指標
https://docs.aws.amazon.com/AmazonCloudWatch/latest/monitoring/Container-Insights-enhanced-observability-metrics-ECS.html
S42 ECSのPrometheus収集
https://docs.aws.amazon.com/AmazonCloudWatch/latest/monitoring/ContainerInsights-Prometheus-Setup-ECS.html</t>
        </r>
      </text>
    </comment>
    <comment ref="E8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
S42 ECSのPrometheus収集
https://docs.aws.amazon.com/AmazonCloudWatch/latest/monitoring/ContainerInsights-Prometheus-Setup-ECS.html
S43 ECSからAMPへのアプリ指標送信
https://docs.aws.amazon.com/AmazonECS/latest/developerguide/application-metrics-prometheus.html</t>
        </r>
      </text>
    </comment>
    <comment ref="E9" authorId="0">
      <text>
        <r>
          <rPr>
            <sz val="10"/>
            <color indexed="81"/>
            <rFont val="Meiryo UI"/>
            <family val="2"/>
          </rPr>
          <t>S36 CloudWatch Transaction Search
https://docs.aws.amazon.com/AmazonCloudWatch/latest/monitoring/CloudWatch-Transaction-Search.html
S56 Java 21 jcmd
https://docs.oracle.com/en/java/javase/21/docs/specs/man/jcmd.html</t>
        </r>
      </text>
    </comment>
    <comment ref="E10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
S19 CloudWatch Database Insights
https://docs.aws.amazon.com/AmazonCloudWatch/latest/monitoring/Database-Insights.html
S21 RDS Enhanced Monitoring
https://docs.aws.amazon.com/AmazonRDS/latest/UserGuide/USER_Monitoring.OS.html</t>
        </r>
      </text>
    </comment>
    <comment ref="E11" authorId="0">
      <text>
        <r>
          <rPr>
            <sz val="10"/>
            <color indexed="81"/>
            <rFont val="Meiryo UI"/>
            <family val="2"/>
          </rPr>
          <t>S04 Application Signals対応システム
https://docs.aws.amazon.com/AmazonCloudWatch/latest/monitoring/CloudWatch-Application-Signals-supportmatrix.html
S40 OpenTelemetry Java対応ライブラリ
https://github.com/open-telemetry/opentelemetry-java-instrumentation/blob/main/docs/supported-libraries.md
S45 EAP 8のサポート構成
https://access.redhat.com/articles/6961381</t>
        </r>
      </text>
    </comment>
    <comment ref="E12" authorId="0">
      <text>
        <r>
          <rPr>
            <sz val="10"/>
            <color indexed="81"/>
            <rFont val="Meiryo UI"/>
            <family val="2"/>
          </rPr>
          <t>S48 EAP 8.1のJVMチューニング
https://docs.redhat.com/en/documentation/red_hat_jboss_enterprise_application_platform/8.1/html/performance_tuning_for_red_hat_jboss_enterprise_application_platform/assembly-jvm-tuning_performance-tuning-guide
S53 Java 21 MemoryUsage
https://docs.oracle.com/en/java/javase/21/docs/api/java.management/java/lang/management/MemoryUsage.html</t>
        </r>
      </text>
    </comment>
    <comment ref="E13" authorId="0">
      <text>
        <r>
          <rPr>
            <sz val="10"/>
            <color indexed="81"/>
            <rFont val="Meiryo UI"/>
            <family val="2"/>
          </rPr>
          <t>S20 Database Insightsインスタンス画面
https://docs.aws.amazon.com/AmazonCloudWatch/latest/monitoring/Database-Insights-Database-Instance-Dashboard.html
S50 EAP 8.1の管理属性リファレンス
https://docs.redhat.com/en/documentation/red_hat_jboss_enterprise_application_platform/8.1/html/configuration_guide/reference_material</t>
        </r>
      </text>
    </comment>
    <comment ref="E14" authorId="0">
      <text>
        <r>
          <rPr>
            <sz val="10"/>
            <color indexed="81"/>
            <rFont val="Meiryo UI"/>
            <family val="2"/>
          </rPr>
          <t>S53 Java 21 MemoryUsage
https://docs.oracle.com/en/java/javase/21/docs/api/java.management/java/lang/management/MemoryUsage.html
S54 Java 21 MemoryMXBean
https://docs.oracle.com/en/java/javase/21/docs/api/java.management/java/lang/management/MemoryMXBean.html
S57 Java 21 Native Memory Tracking
https://docs.oracle.com/en/java/javase/21/vm/native-memory-tracking.html</t>
        </r>
      </text>
    </comment>
    <comment ref="E15" authorId="0">
      <text>
        <r>
          <rPr>
            <sz val="10"/>
            <color indexed="81"/>
            <rFont val="Meiryo UI"/>
            <family val="2"/>
          </rPr>
          <t>S33 CloudWatchのメトリクス概念
https://docs.aws.amazon.com/AmazonCloudWatch/latest/monitoring/cloudwatch_concepts.html
S36 CloudWatch Transaction Search
https://docs.aws.amazon.com/AmazonCloudWatch/latest/monitoring/CloudWatch-Transaction-Search.html
S48 EAP 8.1のJVMチューニング
https://docs.redhat.com/en/documentation/red_hat_jboss_enterprise_application_platform/8.1/html/performance_tuning_for_red_hat_jboss_enterprise_application_platform/assembly-jvm-tuning_performance-tuning-guide</t>
        </r>
      </text>
    </comment>
    <comment ref="E16" authorId="0">
      <text>
        <r>
          <rPr>
            <sz val="10"/>
            <color indexed="81"/>
            <rFont val="Meiryo UI"/>
            <family val="2"/>
          </rPr>
          <t>S01 Application Signalsの収集指標
https://docs.aws.amazon.com/AmazonCloudWatch/latest/monitoring/AppSignals-MetricsCollected.html
S60 JMeter Best Practices
https://jmeter.apache.org/usermanual/best-practices.html</t>
        </r>
      </text>
    </comment>
    <comment ref="E17" authorId="0">
      <text>
        <r>
          <rPr>
            <sz val="10"/>
            <color indexed="81"/>
            <rFont val="Meiryo UI"/>
            <family val="2"/>
          </rPr>
          <t>S13 ALBのCloudWatch Logs連携
https://docs.aws.amazon.com/elasticloadbalancing/latest/application/load-balancer-cloudwatch-logs.html
S82 ALBログのCloudWatch連携の発表
https://aws.amazon.com/about-aws/whats-new/2026/07/amazon-cloudwatch-logs/</t>
        </r>
      </text>
    </comment>
    <comment ref="E18" authorId="0">
      <text>
        <r>
          <rPr>
            <sz val="10"/>
            <color indexed="81"/>
            <rFont val="Meiryo UI"/>
            <family val="2"/>
          </rPr>
          <t>S38 X-Ray SDK/daemonのサポート日程
https://docs.aws.amazon.com/xray/latest/devguide/xray-sdk-daemon-timeline.html
S39 X-RayからOpenTelemetryへの移行
https://docs.aws.amazon.com/xray/latest/devguide/xray-sdk-migration.html</t>
        </r>
      </text>
    </comment>
    <comment ref="E19" authorId="0">
      <text>
        <r>
          <rPr>
            <sz val="10"/>
            <color indexed="81"/>
            <rFont val="Meiryo UI"/>
            <family val="2"/>
          </rPr>
          <t>S19 CloudWatch Database Insights
https://docs.aws.amazon.com/AmazonCloudWatch/latest/monitoring/Database-Insights.html
S22 Database Insightsと従来API
https://docs.aws.amazon.com/AmazonRDS/latest/UserGuide/USER_PerfInsights.html</t>
        </r>
      </text>
    </comment>
    <comment ref="E20" authorId="0">
      <text>
        <r>
          <rPr>
            <sz val="10"/>
            <color indexed="81"/>
            <rFont val="Meiryo UI"/>
            <family val="2"/>
          </rPr>
          <t>S03 Application Signalsのsidecar設定
https://docs.aws.amazon.com/AmazonCloudWatch/latest/monitoring/CloudWatch-Application-Signals-ECS-Sidecar.html
S57 Java 21 Native Memory Tracking
https://docs.oracle.com/en/java/javase/21/vm/native-memory-tracking.html
S60 JMeter Best Practices
https://jmeter.apache.org/usermanual/best-practices.html</t>
        </r>
      </text>
    </comment>
  </commentList>
</comments>
</file>

<file path=xl/sharedStrings.xml><?xml version="1.0" encoding="utf-8"?>
<sst xmlns="http://schemas.openxmlformats.org/spreadsheetml/2006/main" count="2295" uniqueCount="1833">
  <si>
    <t>数字・記録・道のりを区別する</t>
  </si>
  <si>
    <t>ECS Fargate / JBoss EAP 8.1 / Red Hat build of OpenJDK 21  |  公式情報確認 2026-10-02  |  数値例は架空</t>
  </si>
  <si>
    <t>学校の給食をAPIにたとえる。JMeterは注文を出す人、ALBは受付、EAPは調理場、DBは食材倉庫。たとえの後で正式な用語を説明する。</t>
  </si>
  <si>
    <t>← 目次</t>
  </si>
  <si>
    <t>テーマ</t>
  </si>
  <si>
    <t>やさしく理解</t>
  </si>
  <si>
    <t>動作原理・正確な意味</t>
  </si>
  <si>
    <t>テストでの使い方・注意</t>
  </si>
  <si>
    <t>根拠</t>
  </si>
  <si>
    <t>API</t>
  </si>
  <si>
    <t>『カレーを1つください』という決められた注文口。</t>
  </si>
  <si>
    <t>HTTPリクエストを受けて処理し、ステータスと本文を返す入口。1回のAPI内でDBや別サービスを何度も呼ぶ場合がある。</t>
  </si>
  <si>
    <t>同じURLでも検索条件・件数・本文サイズで負荷は変わる。API名とシナリオを対応付ける。</t>
  </si>
  <si>
    <t>説明・設計例</t>
  </si>
  <si>
    <t>メトリクス</t>
  </si>
  <si>
    <t>1分ごとの注文数や、調理場の混み具合を数字にした記録。</t>
  </si>
  <si>
    <t>時間に沿って蓄積する数値。どの範囲の何を何秒ごとに測ったかが必須。数字だけでは個別の注文の事情を特定できない。</t>
  </si>
  <si>
    <t>CPU高騰とAPI遅延が同時に起きたら手掛かり。ただし同時発生だけで因果関係は決まらない。</t>
  </si>
  <si>
    <t>S33</t>
  </si>
  <si>
    <t>ログ</t>
  </si>
  <si>
    <t>『10時3分、食材が届かず注文17が失敗』という日記。</t>
  </si>
  <si>
    <t>アプリやサービスが出した出来事の記録。記録していない情報は検索しても出ない。GCログとアクセスログは目的が違う。</t>
  </si>
  <si>
    <t>時刻、API、task ID、trace ID、例外の種類を結び付ける。機密の本文・認証情報は出力しない。</t>
  </si>
  <si>
    <t>S34 S62</t>
  </si>
  <si>
    <t>トレース / span</t>
  </si>
  <si>
    <t>1枚の注文票に、受付・調理・倉庫でかかった時間を書く。</t>
  </si>
  <si>
    <t>traceは1つの処理のつながり、spanはその一部分。親子関係とIDでHTTPやJDBCの呼出しを関連付ける。</t>
  </si>
  <si>
    <t>遅い1件を選び、DB・外部API・アプリ内部のどこが長いかを見る。計装していない区間は空白になる。</t>
  </si>
  <si>
    <t>S36 S40</t>
  </si>
  <si>
    <t>プロファイル</t>
  </si>
  <si>
    <t>料理人がどの作業に手を動かしていたかを、細かく観察する。</t>
  </si>
  <si>
    <t>コードの実行・割当・ロック等を調べる。トレースが示す『このspanが遅い』を、JFR等でメソッドや待機へ絞る。</t>
  </si>
  <si>
    <t>遅延を見つけた後の深掘り。すべての負荷試験で重いダンプを取る必要はない。</t>
  </si>
  <si>
    <t>S56 S58</t>
  </si>
  <si>
    <t>レイテンシと完了時間</t>
  </si>
  <si>
    <t>最初の返事までと、お皿を全部受け取るまでの時間は違う。</t>
  </si>
  <si>
    <t>JMeter Latencyは最初の応答まで、Elapsedはサンプル完了まで。ALBのTargetResponseTimeは応答ヘッダー開始までの別区間。</t>
  </si>
  <si>
    <t>同じ『Latency』という名前でも区間が違う。単位をmsへ揃えてから比べる。差分はあくまで調査の入口。</t>
  </si>
  <si>
    <t>S10 S59</t>
  </si>
  <si>
    <t>RPS / スループット</t>
  </si>
  <si>
    <t>1秒に何人へ給食を渡せたか。</t>
  </si>
  <si>
    <t>処理量を時間で割った値。要求の開始件数、完了件数、成功件数は別。再試行や非同期受付によって件数も違う。</t>
  </si>
  <si>
    <t>成功RPS・全RPS・失敗率を同時に見る。早いエラーが増えると平均時間だけは改善することがある。</t>
  </si>
  <si>
    <t>S59</t>
  </si>
  <si>
    <t>p50・p95・p99</t>
  </si>
  <si>
    <t>100人を待ち時間順に並べ、真ん中・95番目・99番目を見る。</t>
  </si>
  <si>
    <t>分位点。平均に隠れる少数の遅い処理を見るために使う。厳密な補間方法はツールに依存する。</t>
  </si>
  <si>
    <t>標本数も保存する。各分のp95を平均しても全期間のp95にはならない。API別・負荷段階別に元データから集計。</t>
  </si>
  <si>
    <t>飽和と待ち行列</t>
  </si>
  <si>
    <t>料理人が全員働いていると、新しい注文は列に並ぶ。</t>
  </si>
  <si>
    <t>使用率が上限に近付くと待ち時間が急増し得る。CPUだけでなく接続プール・worker・外部サービスにも上限がある。</t>
  </si>
  <si>
    <t>低CPUでもプール待ちやロック待ちなら遅い。CPU使用率だけを合否条件にしない。</t>
  </si>
  <si>
    <t>S49 S50</t>
  </si>
  <si>
    <t>名前空間</t>
  </si>
  <si>
    <t>数字のノートに付いた『受付』『調理場』という分類名。</t>
  </si>
  <si>
    <t>CloudWatchのNamespace。同名のCPUUtilizationでもAWS/ECSとAWS/RDSでは測る対象が違う。</t>
  </si>
  <si>
    <t>資料の正式名を名前空間とセットで使う。カスタム指標は例としてPerfTest/JBossEAPを使う。</t>
  </si>
  <si>
    <t>S17 S33</t>
  </si>
  <si>
    <t>ディメンション</t>
  </si>
  <si>
    <t>同じ注文数でも『1組』『2組』の札で分ける。</t>
  </si>
  <si>
    <t>ClusterName、ServiceName、TaskId等の組合せが時系列を識別する。フィルター対象を変えると別の集計になる。</t>
  </si>
  <si>
    <t>サービス平均で正常でも1タスクだけ異常な場合がある。タスク交代前後を分けて比較する。</t>
  </si>
  <si>
    <t>S05 S33</t>
  </si>
  <si>
    <t>Sum / Average / Maximum</t>
  </si>
  <si>
    <t>今日の注文数は足し算、机の混み具合は平均や最大で見る。</t>
  </si>
  <si>
    <t>イベント件数はSum、使用量の瞬間値はAverage/Maximumが基本。既に秒当たりの指標をSumすると意味が変わる。</t>
  </si>
  <si>
    <t>指標固有の例外を優先。ALB RequestCountPerTargetはSumが有効だが、その値はターゲット当たり平均。</t>
  </si>
  <si>
    <t>S10 S33</t>
  </si>
  <si>
    <t>ゲージとカウンター</t>
  </si>
  <si>
    <t>体温計と、スタートしてからの歩数計の違い。</t>
  </si>
  <si>
    <t>使用メモリはゲージ。JMXのGC回数は累積カウンター。累積値は差分を期間で割り、再起動によるゼロ復帰を考慮する。</t>
  </si>
  <si>
    <t>GC累積時間の生値をSumしない。Application SignalsとJMXで送信形式・単位が同じとは限らない。</t>
  </si>
  <si>
    <t>S01 S41</t>
  </si>
  <si>
    <t>収集間隔 / 表示期間</t>
  </si>
  <si>
    <t>1分に1回写真を撮っても、間に起きた1秒の出来事は写らない。</t>
  </si>
  <si>
    <t>測定頻度とグラフの集約幅は別。送信遅延もある。Maximumでも未観測のピークは復元できない。</t>
  </si>
  <si>
    <t>1分指標で短いGC停止を否定しない。GCログ・トレースと、必要時の細かなカスタム計測で補う。</t>
  </si>
  <si>
    <t>S07 S33</t>
  </si>
  <si>
    <t>欠測</t>
  </si>
  <si>
    <t>記録用紙が空欄なら、注文ゼロなのか、記録係が不在なのかを調べる。</t>
  </si>
  <si>
    <t>No dataは0ではない。停止タスク、送信障害、次元違い、権限不足、有効化前等で指標がなくなる。</t>
  </si>
  <si>
    <t>低負荷時の疎なエラー件数と監視停止を区別する。アラームの欠測扱いも指標ごとに決める。</t>
  </si>
  <si>
    <t>S06 S33</t>
  </si>
  <si>
    <t>SLOと合否</t>
  </si>
  <si>
    <t>『ほとんどの人へ5分以内に配る』という約束。</t>
  </si>
  <si>
    <t>要求から決めるサービス目標。例：成功RPS、API別p95/p99、エラー率、継続時間、回復時間。</t>
  </si>
  <si>
    <t>CPU80%やヒープ70%は万人共通の合格基準ではない。業務の締切と容量余裕から決める。</t>
  </si>
  <si>
    <t>S78</t>
  </si>
  <si>
    <t>なぜ監視の道具が増えたのか</t>
  </si>
  <si>
    <t>登場年月は公式発表で確認。『必要になった理由』は発表内容とシステム構造を基にした解説。昔の発表ページにある当時の制限・料金を現在仕様として扱わない。</t>
  </si>
  <si>
    <t>時期</t>
  </si>
  <si>
    <t>登場・変化</t>
  </si>
  <si>
    <t>その前に困っていたこと</t>
  </si>
  <si>
    <t>今回へのつながり</t>
  </si>
  <si>
    <t>2009年5月</t>
  </si>
  <si>
    <t>Amazon CloudWatch</t>
  </si>
  <si>
    <t>借りた仮想サーバーが忙しいかを共通の仕組みで測り、自動増減へ結び付けたかった。</t>
  </si>
  <si>
    <t>CPU等の数字を集める土台。ただしアプリ内部の事情は追加計装が必要。</t>
  </si>
  <si>
    <t>S65</t>
  </si>
  <si>
    <t>2014-07-10</t>
  </si>
  <si>
    <t>CloudWatch Logs</t>
  </si>
  <si>
    <t>サーバーごとに日記が散らばり、交換・停止後に原因の記録を追いにくかった。</t>
  </si>
  <si>
    <t>EAPとGCログをタスク外へ残す。ログを持ち出して初めて停止後も分析できる。</t>
  </si>
  <si>
    <t>S66</t>
  </si>
  <si>
    <t>2017-04-19</t>
  </si>
  <si>
    <t>AWS X-Ray一般提供</t>
  </si>
  <si>
    <t>1つの要求が複数サービスを通り、別々のログだけではどこが遅いかつなぎにくかった。</t>
  </si>
  <si>
    <t>HTTP・JDBC等の道のりをtraceとして見る。メモリの中身を見る機能とは役割が違う。</t>
  </si>
  <si>
    <t>S67</t>
  </si>
  <si>
    <t>2017-11-29</t>
  </si>
  <si>
    <t>AWS Fargate</t>
  </si>
  <si>
    <t>コンテナを動かす前に、土台のサーバー確保・保守・容量調整が必要だった。</t>
  </si>
  <si>
    <t>ホスト管理はAWSに任せる。その結果、利用者の観察対象はサービス・タスク・コンテナ・アプリになる。</t>
  </si>
  <si>
    <t>S68</t>
  </si>
  <si>
    <t>2017-12-14</t>
  </si>
  <si>
    <t>統合CloudWatch agent</t>
  </si>
  <si>
    <t>OS内部の数値とログを集める道具が分かれ、運用が複雑だった。</t>
  </si>
  <si>
    <t>収集係の統合。現在のFargate向けAPMではsidecarとして使う構成がある。</t>
  </si>
  <si>
    <t>S69 S03</t>
  </si>
  <si>
    <t>2018-11-27</t>
  </si>
  <si>
    <t>Logs Insights一般提供</t>
  </si>
  <si>
    <t>大量の日記を目で読むだけでは、失敗数や遅いAPIの傾向をすぐに探せなかった。</t>
  </si>
  <si>
    <t>時刻と条件で検索し、その場で集計する。</t>
  </si>
  <si>
    <t>S70</t>
  </si>
  <si>
    <t>2019年</t>
  </si>
  <si>
    <t>OpenTelemetry誕生</t>
  </si>
  <si>
    <t>製品ごとに計装方式が分かれ、送信先を変えるたびにアプリの変更が増えた。</t>
  </si>
  <si>
    <t>OpenTracingとOpenCensusを統合。計測・伝送の共通言語を作り、収集先を選びやすくした。</t>
  </si>
  <si>
    <t>S72</t>
  </si>
  <si>
    <t>2019-08-30</t>
  </si>
  <si>
    <t>Container Insights一般提供</t>
  </si>
  <si>
    <t>短命なコンテナが増え、個々のCPUやメモリを名前と結び付けるのが大変だった。</t>
  </si>
  <si>
    <t>ECSの構造に沿った画面・集計を用意。標準機能だけではJVM内部まではわからない。</t>
  </si>
  <si>
    <t>S71</t>
  </si>
  <si>
    <t>2020-04-23</t>
  </si>
  <si>
    <t>CloudWatch Synthetics一般提供</t>
  </si>
  <si>
    <t>利用者がいない時間も、注文口が本当に使えるか確かめたかった。</t>
  </si>
  <si>
    <t>少量の定期的な試し注文。JMeterの大量負荷と組み合わせる補助役。</t>
  </si>
  <si>
    <t>S73</t>
  </si>
  <si>
    <t>2020-10-21</t>
  </si>
  <si>
    <t>ADOTプレビュー</t>
  </si>
  <si>
    <t>OpenTelemetryをAWS環境で収集・送信しやすくし、AWSリソースと関連付けたかった。</t>
  </si>
  <si>
    <t>Java agentとCollectorの役割を分けて理解する。ADOT自体はデータを見るWebサービスではない。</t>
  </si>
  <si>
    <t>S74</t>
  </si>
  <si>
    <t>2021年8・9月</t>
  </si>
  <si>
    <t>Managed Grafana / AMP一般提供</t>
  </si>
  <si>
    <t>見やすい画面やPrometheus保存基盤のために、別途サーバーを保守していた。</t>
  </si>
  <si>
    <t>Grafanaは画面、AMPはPrometheus互換保存基盤。JVMの詳細指標を扱う選択肢が広がった。</t>
  </si>
  <si>
    <t>S75 S76</t>
  </si>
  <si>
    <t>2021-11-29</t>
  </si>
  <si>
    <t>CloudWatch RUM</t>
  </si>
  <si>
    <t>サーバーが速くても、利用者のブラウザーでは遅いことがあった。</t>
  </si>
  <si>
    <t>実利用者の画面側を観察。通常のJMeter HTTP SamplerはブラウザーのJavaScriptを実行しない。</t>
  </si>
  <si>
    <t>S77 S60</t>
  </si>
  <si>
    <t>2024-06-10</t>
  </si>
  <si>
    <t>Application Signals一般提供</t>
  </si>
  <si>
    <t>CPUとログとtraceを人がつなぐだけでは、API単位の健康状態とSLOを管理しにくかった。</t>
  </si>
  <si>
    <t>API・依存先・ランタイムの数字を同じ文脈で見るAPMへ。</t>
  </si>
  <si>
    <t>2024-11-21</t>
  </si>
  <si>
    <t>Transaction Search一般提供</t>
  </si>
  <si>
    <t>少数の遅い処理や業務属性を、柔軟に検索する必要が増えた。</t>
  </si>
  <si>
    <t>spanを検索可能な構造化ログとして扱う。未送信のspanを後から取り戻す機能ではない。</t>
  </si>
  <si>
    <t>S79 S36</t>
  </si>
  <si>
    <t>2024-12-01</t>
  </si>
  <si>
    <t>Database Insights一般提供</t>
  </si>
  <si>
    <t>DBごとの画面だけでは、アプリ全体とDB群の問題を関連付けにくかった。</t>
  </si>
  <si>
    <t>DB Load・SQL・待機・ログをまとめ、アプリ依存先から掘り下げる。</t>
  </si>
  <si>
    <t>S80</t>
  </si>
  <si>
    <t>2024-12-02</t>
  </si>
  <si>
    <t>ECS向けContainer Insights拡張</t>
  </si>
  <si>
    <t>平均だけでは、特定タスク・特定コンテナの異常を見落としやすかった。</t>
  </si>
  <si>
    <t>enhancedでTaskIdやContainerNameを使って調べる。</t>
  </si>
  <si>
    <t>S09</t>
  </si>
  <si>
    <t>2026-02-25</t>
  </si>
  <si>
    <t>X-Ray SDK/daemonがメンテナンスモード</t>
  </si>
  <si>
    <t>新規の計装をOpenTelemetryへ集約する方向へ変化。</t>
  </si>
  <si>
    <t>新規構成ではOTel/ADOTを優先。X-Rayサービスの終了ではない。現行の公式日程の終了欄はN/Aであり、古い記事の2027年終了を確定事項にしない。</t>
  </si>
  <si>
    <t>S38 S39</t>
  </si>
  <si>
    <t>2026-05-21</t>
  </si>
  <si>
    <t>OpenTelemetryがCNCF Graduatedへ</t>
  </si>
  <si>
    <t>共通計装が多数の利用者・提供者に使われ、プロジェクトの成熟が評価された。</t>
  </si>
  <si>
    <t>個別agentの動作保証とは別だが、標準化を選ぶ背景になる。</t>
  </si>
  <si>
    <t>S83</t>
  </si>
  <si>
    <t>2026-06-18</t>
  </si>
  <si>
    <t>ECSサービスの20秒指標</t>
  </si>
  <si>
    <t>急な増加に対し、従来の1分指標ではスケール判断が遅れやすかった。</t>
  </si>
  <si>
    <t>CPU/メモリの高解像度を選択可能。自動で全指標が20秒になるわけではない。</t>
  </si>
  <si>
    <t>S81 S07</t>
  </si>
  <si>
    <t>2026-07-23</t>
  </si>
  <si>
    <t>ALBログのCloudWatch Logs配信</t>
  </si>
  <si>
    <t>入口のログを他のCloudWatchログと同じ場所で検索したかった。</t>
  </si>
  <si>
    <t>S3経由だけでなく、ALBのIntegrationsからCloudWatch Logs等への配信を選べる。</t>
  </si>
  <si>
    <t>S82 S13</t>
  </si>
  <si>
    <t>2026-07-31</t>
  </si>
  <si>
    <t>RDS Performance Insightsの移行日</t>
  </si>
  <si>
    <t>DB監視をDatabase Insightsにまとめる変更。</t>
  </si>
  <si>
    <t>現行ガイドは移行済みと案内。PI API文書は継続。Standardは7日無料＋有償1～24か月、Advancedは1～24か月をモード料金に含む。古い保持期間表を流用しない。</t>
  </si>
  <si>
    <t>S19 S22</t>
  </si>
  <si>
    <t>どのAWSサービス・機能で何を見るか</t>
  </si>
  <si>
    <t>CloudWatchはサービス名、Container InsightsやApplication Signalsはその機能名。収集するソフト、保存する場所、見る画面を混同しない。優先度は本資料の提案。</t>
  </si>
  <si>
    <t>最優先：CloudWatch Metrics / Dashboard / Alarm</t>
  </si>
  <si>
    <t>全体の温度計と掲示板とベル。</t>
  </si>
  <si>
    <t>AWS各サービスの指標とカスタム指標を時系列で保存し、比較・数式・通知に使う。AWS標準指標と追加有効化が必要な指標がある。</t>
  </si>
  <si>
    <t>JMeter、ALB、ECS、JVM、DBを同じ時間範囲で並べる。アラームは合否判定のすべてを代行しない。</t>
  </si>
  <si>
    <t>最優先：Container Insights（enhanced）</t>
  </si>
  <si>
    <t>建物→教室→机という順で、どこが混んでいるか見る。</t>
  </si>
  <si>
    <t>ECSのサービス・タスク・コンテナ別にCPU、メモリ、ネットワーク、状態を扱う。通常はECS/ContainerInsightsを参照。</t>
  </si>
  <si>
    <t>クラスターのenhancedを事前有効化。タスク単位の偏りを発見する。標準のインフラ収集だけではヒープ/GCは出ない。</t>
  </si>
  <si>
    <t>S05 S08</t>
  </si>
  <si>
    <t>最優先：Application Signals</t>
  </si>
  <si>
    <t>注文口ごとの混み具合と調理場の状態を一緒に見る。</t>
  </si>
  <si>
    <t>計装したアプリのAPI・依存先のAPM指標を扱い、Javaランタイム情報も同じサービス文脈で見られる。</t>
  </si>
  <si>
    <t>EAPへADOT Java agent、同一タスクへCloudWatch agentを設定するのが基本候補。JVMの全属性を自動収集するわけではない。</t>
  </si>
  <si>
    <t>S01 S02 S03</t>
  </si>
  <si>
    <t>最優先：AWS X-Ray</t>
  </si>
  <si>
    <t>遅かった1枚の注文票の経路図。</t>
  </si>
  <si>
    <t>計装済みspan/segmentを集め、親子関係・時間・エラーを分析。サンプリングされる場合がある。</t>
  </si>
  <si>
    <t>Servlet/JAX-RS、JDBC、HTTP client等が採用agentで計装されるか確認。SQLのDB内部待機はDatabase Insightsで補う。</t>
  </si>
  <si>
    <t>S36 S39 S40</t>
  </si>
  <si>
    <t>深掘り：Transaction Search</t>
  </si>
  <si>
    <t>たくさんの注文票を、時間や条件で検索する索引。</t>
  </si>
  <si>
    <t>CloudWatchへ受信したspanをaws/spansに保存して検索。X-Rayのtrace summaryの索引割合と、アプリでspanを作る割合は別。</t>
  </si>
  <si>
    <t>短期診断で詳細なspanを送る場合に有用。100%の取り込み能力と、実際に100%送信・計装できていることは区別する。</t>
  </si>
  <si>
    <t>S36 S37</t>
  </si>
  <si>
    <t>最優先：CloudWatch Logs / Logs Insights</t>
  </si>
  <si>
    <t>エラーや出来事の日記をまとめて読み、数える。</t>
  </si>
  <si>
    <t>EAPログ、GCログ、アクセスログ、Collectorログを蓄積・検索。メトリクスへ変換するにはEMF/metric filter等が必要。</t>
  </si>
  <si>
    <t>awslogsはstdout/stderr用。コンテナ内のserver.logを置くだけでは転送されない。GCログの時刻をAPIと揃える。</t>
  </si>
  <si>
    <t>S34 S62 S63</t>
  </si>
  <si>
    <t>DB使用時：Database Insights</t>
  </si>
  <si>
    <t>倉庫係が実際に働いているのか、鍵待ちなのかを調べる。</t>
  </si>
  <si>
    <t>DB LoadをCPU・I/O・ロック等の待機とSQLへ分解する。機能はエンジン・リージョン・モードに依存。</t>
  </si>
  <si>
    <t>アプリのJDBC spanが長い時に使用。EAPのJavaヒープはここでは見られない。</t>
  </si>
  <si>
    <t>S19 S20</t>
  </si>
  <si>
    <t>補助：RDS Enhanced Monitoring</t>
  </si>
  <si>
    <t>倉庫の建物の中にあるOSの計器。</t>
  </si>
  <si>
    <t>RDS側のOS・プロセスを細かく確認。CloudWatch Logsへ送る仕組みで、通常のAWS/RDS指標とは由来が違う。</t>
  </si>
  <si>
    <t>DBのCPUやメモリを深掘り。ECSタスクのJVM監視と取り違えない。</t>
  </si>
  <si>
    <t>S21</t>
  </si>
  <si>
    <t>詳細指標の保存：AMP</t>
  </si>
  <si>
    <t>細かな数字を札付きでしまう、大きなノート。</t>
  </si>
  <si>
    <t>Amazon Managed Service for Prometheus。Prometheus互換の時系列保存・PromQL。JMX ExporterからCollectorがscrapeしremote_writeする。</t>
  </si>
  <si>
    <t>task ID、pool名、GC名などを用いた独自分析に向く。AMPの数字は自動でCloudWatch名前空間へ現れるわけではない。</t>
  </si>
  <si>
    <t>S43</t>
  </si>
  <si>
    <t>統合表示：Amazon Managed Grafana</t>
  </si>
  <si>
    <t>複数のノートを1枚の掲示板に並べる。</t>
  </si>
  <si>
    <t>AMPやCloudWatch等のデータソースを可視化する。GrafanaそのものがEAP内部を計測するわけではない。</t>
  </si>
  <si>
    <t>既存のGrafana運用がある場合の選択肢。データソース、IAM、ワークスペース利用料を確認する。</t>
  </si>
  <si>
    <t>S75</t>
  </si>
  <si>
    <t>収集係：ADOT Java agent</t>
  </si>
  <si>
    <t>調理場の作業に小さな時計を付ける係。</t>
  </si>
  <si>
    <t>-javaagentでJVM起動時にロードし、対応ライブラリを計装する。AWS向けOpenTelemetry配布物の1つ。</t>
  </si>
  <si>
    <t>既存agentと二重計装しない。クラスローダー、JDBC driver、log contextの組合せを少量負荷で確認。</t>
  </si>
  <si>
    <t>S03 S40 S74</t>
  </si>
  <si>
    <t>収集係：CloudWatch agent / ADOT Collector</t>
  </si>
  <si>
    <t>時計から記録を受け取り、ノートへ運ぶ係。</t>
  </si>
  <si>
    <t>受信・加工・バッチ化・送信を行う。選んだ構成に応じてCloudWatch/AMP/X-Rayへ流す。Java agentとは別プロセスになることが多い。</t>
  </si>
  <si>
    <t>FargateではsidecarのCPU・メモリもタスク予算へ入れる。標準APM経路と独自Prometheus経路を設計せず混在させない。</t>
  </si>
  <si>
    <t>S02 S03 S42 S43</t>
  </si>
  <si>
    <t>補助：CloudWatch Synthetics</t>
  </si>
  <si>
    <t>人が少ない時間も、定期的に小さな試し注文をする。</t>
  </si>
  <si>
    <t>CanaryがAPIや画面の成功率・所要時間を確認。合成監視の機能。</t>
  </si>
  <si>
    <t>負荷試験中も通常利用の代表経路を少量観察できる。大規模な負荷生成はJMeter側で設計する。</t>
  </si>
  <si>
    <t>画面も対象なら：CloudWatch RUM</t>
  </si>
  <si>
    <t>本当に使っている人の端末で待ち時間を記録。</t>
  </si>
  <si>
    <t>WebクライアントのJavaScriptによって実利用者の性能・エラーを送信する。</t>
  </si>
  <si>
    <t>APIだけのJMeter試験ではRUMイベントが自動発生しない。ブラウザー試験を別に定義する。</t>
  </si>
  <si>
    <t>補助：イベント / 操作記録</t>
  </si>
  <si>
    <t>教室の入替えや設定変更を記録した日程表。</t>
  </si>
  <si>
    <t>ECSの停止理由・デプロイ・スケーリングイベントを保存。構成変更の監査記録も時系列に重ねる。</t>
  </si>
  <si>
    <t>Task stoppedとcontainer restartは違う。CloudTrailの操作記録を業務APIの性能traceと混同しない。</t>
  </si>
  <si>
    <t>S09 S61</t>
  </si>
  <si>
    <t>JMeterからEAPに入るまでの指標</t>
  </si>
  <si>
    <t>該当サービスを使う場合に確認する。統計の選択は分析目的に応じた提案であり、公式に指定された例外を優先する。ALBはLoadBalancer/TargetGroup、API GatewayはAPI/Stage等の正しい次元を選ぶ。</t>
  </si>
  <si>
    <t>対象・優先度</t>
  </si>
  <si>
    <t>名前空間 / 正式指標名</t>
  </si>
  <si>
    <t>単位・統計の選び方</t>
  </si>
  <si>
    <t>何がわかるか</t>
  </si>
  <si>
    <t>読み方・収集条件</t>
  </si>
  <si>
    <t>ALB / 必須</t>
  </si>
  <si>
    <t>AWS/ApplicationELB
RequestCount</t>
  </si>
  <si>
    <t>Count / Sum
RPS=件数÷期間秒</t>
  </si>
  <si>
    <t>ターゲットを選べた要求の量。</t>
  </si>
  <si>
    <t>入口で先に拒否された要求は含まれない場合がある。JMeterの件数と一致しないときはWAF、再試行、redirect等を確認。</t>
  </si>
  <si>
    <t>S10</t>
  </si>
  <si>
    <t>AWS/ApplicationELB
TargetResponseTime</t>
  </si>
  <si>
    <t>Seconds / p95・p99・Average</t>
  </si>
  <si>
    <t>ALBから送り、ターゲットが応答ヘッダーを返し始めるまで。</t>
  </si>
  <si>
    <t>JMeter Elapsedと同一ではない。EAPやDBの遅延を探す入口。比較時は×1000してmsへ。</t>
  </si>
  <si>
    <t>AWS/ApplicationELB
HTTPCode_Target_5XX_Count</t>
  </si>
  <si>
    <t>Count / Sum</t>
  </si>
  <si>
    <t>ターゲットが返したサーバーエラー件数。</t>
  </si>
  <si>
    <t>同時刻のEAP例外・依存先失敗を見る。HTTP200でも業務的失敗なら、この値には出ない。</t>
  </si>
  <si>
    <t>AWS/ApplicationELB
HTTPCode_ELB_5XX_Count</t>
  </si>
  <si>
    <t>ALB自身が返す5XX件数。</t>
  </si>
  <si>
    <t>ターゲット接続失敗、応答待ち、healthy数等を確認。Target側5XXと分ける。個別コードの内訳も使う。</t>
  </si>
  <si>
    <t>AWS/ApplicationELB
HealthyHostCount
UnHealthyHostCount</t>
  </si>
  <si>
    <t>Count / Minimum・Maximum</t>
  </si>
  <si>
    <t>正常に配送できるターゲット数。</t>
  </si>
  <si>
    <t>最小healthyと最大unhealthyを見る。停止や登録解除で減ったこととヘルスチェック失敗を区別する。</t>
  </si>
  <si>
    <t>ALB / 推奨</t>
  </si>
  <si>
    <t>AWS/ApplicationELB
TargetConnectionErrorCount
RejectedConnectionCount</t>
  </si>
  <si>
    <t>接続が成立しない・受付側で接続を拒否する兆候。</t>
  </si>
  <si>
    <t>接続数、EAPのworker状態、セキュリティグループ、スケール時刻と照合する。</t>
  </si>
  <si>
    <t>AWS/ApplicationELB
RequestCountPerTarget</t>
  </si>
  <si>
    <t>Count / Sum（値は平均）</t>
  </si>
  <si>
    <t>ターゲット1台当たりの要求量。</t>
  </si>
  <si>
    <t>Sumという統計名でも意味はターゲット当たり平均。タスク別の真の偏りはログ等で確認する。</t>
  </si>
  <si>
    <t>ALB / 補助</t>
  </si>
  <si>
    <t>AWS/ApplicationELB
ActiveConnectionCount
NewConnectionCount
ProcessedBytes</t>
  </si>
  <si>
    <t>接続数・Bytes / Sumを確認</t>
  </si>
  <si>
    <t>接続再利用と転送量の変化。</t>
  </si>
  <si>
    <t>Keep-Aliveの条件を本番に合わせる。接続数とAPI件数は1対1ではない。</t>
  </si>
  <si>
    <t>ALB / ログ</t>
  </si>
  <si>
    <t>request_processing_time
target_processing_time
response_processing_time</t>
  </si>
  <si>
    <t>Seconds / 要求ごとのログ値</t>
  </si>
  <si>
    <t>ALBの前処理・ターゲット応答開始・返送開始までを分ける。</t>
  </si>
  <si>
    <t>ログ項目であって標準メトリクス名ではない。POST本文の時間の配分はWAF有無等に依存。3項目を足してもJMeter全時間とは一致しない。</t>
  </si>
  <si>
    <t>S11</t>
  </si>
  <si>
    <t>REST API Gateway / 必須</t>
  </si>
  <si>
    <t>AWS/ApiGateway
Latency
IntegrationLatency</t>
  </si>
  <si>
    <t>Milliseconds / p95・p99・Average</t>
  </si>
  <si>
    <t>入口全体とバックエンド往復の違い。</t>
  </si>
  <si>
    <t>同じAPI/Stageで比較。p95同士の差は入口のp95追加時間にはならない。個別ログで裏付ける。</t>
  </si>
  <si>
    <t>S14</t>
  </si>
  <si>
    <t>AWS/ApiGateway
Count
4XXError
5XXError</t>
  </si>
  <si>
    <t>Count: SampleCount
エラー: Sum、率はAverage</t>
  </si>
  <si>
    <t>受信量と入口が認識したエラー。</t>
  </si>
  <si>
    <t>Method/Resourceまでの詳細指標は追加設定・料金。401/403/429等はアクセスログで分ける。</t>
  </si>
  <si>
    <t>HTTP API Gateway / 必須</t>
  </si>
  <si>
    <t>AWS/ApiGateway
Latency / IntegrationLatency
4xx / 5xx / Count</t>
  </si>
  <si>
    <t>遅延: ms / 分位点
エラー件数: Sum</t>
  </si>
  <si>
    <t>HTTP APIの遅延と件数。</t>
  </si>
  <si>
    <t>RESTの4XXError/5XXErrorという名前を使わない。Route単位は詳細指標を有効化。X-Ray active tracingのREST向け手順を流用しない。</t>
  </si>
  <si>
    <t>S15 S16</t>
  </si>
  <si>
    <t>WAF / 利用時</t>
  </si>
  <si>
    <t>AWS/WAFV2
AllowedRequests
BlockedRequests
CountedRequests</t>
  </si>
  <si>
    <t>Count / Sum / 通常1分</t>
  </si>
  <si>
    <t>負荷がアプリへ届く前に止められていないか。</t>
  </si>
  <si>
    <t>WebACL/Rule等で確認。負荷を1IPに集中するとrate-based ruleへ影響し得る。試験の目的に合わせ、実設定を記録する。</t>
  </si>
  <si>
    <t>S26</t>
  </si>
  <si>
    <t>CloudFront / 利用時</t>
  </si>
  <si>
    <t>AWS/CloudFront
Requests
5xxErrorRate
CacheHitRate</t>
  </si>
  <si>
    <t>Requests: Sum
率: Average (%)</t>
  </si>
  <si>
    <t>エッジで処理した数とキャッシュの効き方。</t>
  </si>
  <si>
    <t>us-east-1で確認、Region次元はGlobal。CacheHitRateは追加指標。ヒットが多いとEAPへ到達する負荷は小さくなる。</t>
  </si>
  <si>
    <t>S25</t>
  </si>
  <si>
    <t>AWS/CloudFront
OriginLatency</t>
  </si>
  <si>
    <t>Milliseconds / Percentile</t>
  </si>
  <si>
    <t>オリジン取得が必要だった処理の初期応答まで。</t>
  </si>
  <si>
    <t>追加指標。キャッシュヒットを含む全利用者の待ち時間とは違う。冷えた/温まったcacheを別シナリオにする。</t>
  </si>
  <si>
    <t>NAT Gateway / 通過時</t>
  </si>
  <si>
    <t>AWS/NATGateway
ErrorPortAllocation
PacketsDropCount
ActiveConnectionCount</t>
  </si>
  <si>
    <t>失敗/破棄: Sum
接続: Maximum等</t>
  </si>
  <si>
    <t>外部API呼出し等で接続や通信が詰まる手掛かり。</t>
  </si>
  <si>
    <t>その通信がNATを本当に通るかを経路で確認。ALB→Fargateや同一VPCのDB通信を無条件でNAT原因にしない。</t>
  </si>
  <si>
    <t>S27</t>
  </si>
  <si>
    <t>Fargateの外側とコンテナの指標</t>
  </si>
  <si>
    <t>標準サービス指標と追加のContainer Insightsを分ける。Fargateの土台のEC2へ自分でホストagentを入れる設計にはしない。詳細の画面ではClusterName・ServiceName・TaskId・ContainerNameを揃える。</t>
  </si>
  <si>
    <t>サービス / 必須</t>
  </si>
  <si>
    <t>AWS/ECS
CPUUtilization</t>
  </si>
  <si>
    <t>% / Average・Maximum</t>
  </si>
  <si>
    <t>サービスが割り当てられたCPUに対して使った割合。</t>
  </si>
  <si>
    <t>Fargateサービスで標準提供。平均でCPUの偏りが隠れるのでtask単位も併用。分母はEC2ホスト全体ではない。</t>
  </si>
  <si>
    <t>S06 S07</t>
  </si>
  <si>
    <t>AWS/ECS
MemoryUtilization</t>
  </si>
  <si>
    <t>サービスのメモリ使用割合。</t>
  </si>
  <si>
    <t>予約値/制限の設定と分母を確認。soft limitを分母にすると100%超もあり得るため、hard limitによる終了条件とは別に解釈。ヒープ率ではない。</t>
  </si>
  <si>
    <t>S07</t>
  </si>
  <si>
    <t>標準 / 2026年追加</t>
  </si>
  <si>
    <t>AWS/ECS
CPUUtilization / MemoryUtilization
resolutionSeconds=20</t>
  </si>
  <si>
    <t>既定60秒、選択時20秒</t>
  </si>
  <si>
    <t>急な利用率変化を細かく観測する選択肢。</t>
  </si>
  <si>
    <t>サービス側のmonitoring設定が必要。Container InsightsやJVM指標まで自動的に20秒化されない。課金も確認。</t>
  </si>
  <si>
    <t>S07 S81</t>
  </si>
  <si>
    <t>タスク / 必須</t>
  </si>
  <si>
    <t>ECS/ContainerInsights
CpuUtilized / CpuReserved</t>
  </si>
  <si>
    <t>CPU units / Average・Maximum</t>
  </si>
  <si>
    <t>タスクごとの使用量と割当量。</t>
  </si>
  <si>
    <t>enhancedのTaskId次元で外れ値を探す。1024 CPU unitsが1 vCPUの目安。再配置によるID変化を記録。</t>
  </si>
  <si>
    <t>S05</t>
  </si>
  <si>
    <t>コンテナ / 必須</t>
  </si>
  <si>
    <t>ECS/ContainerInsights
ContainerCpuUtilization
ContainerCpuUtilized</t>
  </si>
  <si>
    <t>% / CPU units
Average・Maximum</t>
  </si>
  <si>
    <t>EAPと監視sidecarのCPUを区別。</t>
  </si>
  <si>
    <t>EAP CPU高騰とCollector CPU高騰では対処が違う。メトリクスの集計範囲を確認する。</t>
  </si>
  <si>
    <t>ECS/ContainerInsights
MemoryUtilized
MemoryReserved</t>
  </si>
  <si>
    <t>公式単位: Megabytes
Average・Maximum</t>
  </si>
  <si>
    <t>タスク全体のメモリ余裕。</t>
  </si>
  <si>
    <t>独自のBytes計測と比べる時は単位・算出方法を揃える。task合計とEAPのみを混ぜない。</t>
  </si>
  <si>
    <t>ECS/ContainerInsights
ContainerMemoryUtilized
ContainerMemoryUtilization</t>
  </si>
  <si>
    <t>Megabytes / %
Average・Maximum</t>
  </si>
  <si>
    <t>EAPコンテナとsidecarの使用メモリ。</t>
  </si>
  <si>
    <t>JVMヒープ、native領域、計測方式によるcache等を含む外側の観測。JMXのHeapMemoryUsageとは境界が違う。</t>
  </si>
  <si>
    <t>S05 S54</t>
  </si>
  <si>
    <t>容量 / 必須</t>
  </si>
  <si>
    <t>ECS/ContainerInsights
DesiredTaskCount
RunningTaskCount
PendingTaskCount</t>
  </si>
  <si>
    <t>Count / 時系列を比較</t>
  </si>
  <si>
    <t>欲しい台数、稼働台数、起動待ち。</t>
  </si>
  <si>
    <t>台数が増えてもEAP起動・JIT・接続プール準備が終わるまで処理能力が十分でない場合がある。ALB healthy数も重ねる。</t>
  </si>
  <si>
    <t>状態 / 必須</t>
  </si>
  <si>
    <t>ECS/ContainerInsights
RestartCount</t>
  </si>
  <si>
    <t>Count / 発行方式を確認して増加を見る</t>
  </si>
  <si>
    <t>restart policyによるコンテナ再起動。</t>
  </si>
  <si>
    <t>restart policy有効のコンテナのみ。タスク入替えの総数ではない。Task STOPPED理由とイベントを別保存する。</t>
  </si>
  <si>
    <t>S05 S09</t>
  </si>
  <si>
    <t>状態 / 推奨</t>
  </si>
  <si>
    <t>ECS/ContainerInsights
UnHealthyContainerHealthStatus</t>
  </si>
  <si>
    <t>Count / Maximum等</t>
  </si>
  <si>
    <t>コンテナのhealth check異常。</t>
  </si>
  <si>
    <t>ALB health checkとは別。CPU高負荷、GC停止、起動途中、チェック先の依存障害を切り分ける。</t>
  </si>
  <si>
    <t>通信 / 推奨</t>
  </si>
  <si>
    <t>ECS/ContainerInsights
NetworkRxBytes / NetworkTxBytes
ContainerNetworkRxBytes / ContainerNetworkTxBytes</t>
  </si>
  <si>
    <t>Bytes/Second / Average・Maximum</t>
  </si>
  <si>
    <t>受信・送信の転送量。</t>
  </si>
  <si>
    <t>名前にBytesがあっても公表単位は毎秒。Sumをそのまま転送総量と扱わない。同一taskの共有network集計を二重加算しない。</t>
  </si>
  <si>
    <t>一時領域 / 推奨</t>
  </si>
  <si>
    <t>ECS/ContainerInsights
EphemeralStorageUtilized
EphemeralStorageReserved</t>
  </si>
  <si>
    <t>Gigabytes / Maximum等</t>
  </si>
  <si>
    <t>ログ・一時ファイル・heap dumpの保存先の余裕。</t>
  </si>
  <si>
    <t>Fargate Linux platform 1.4.0以降等の条件。RAMではない。容量不足でダンプ保存が失敗すると原因の証拠が失われる。</t>
  </si>
  <si>
    <t>EBS / 使用時</t>
  </si>
  <si>
    <t>ECS/ContainerInsights
TaskEBSFilesystemUtilization</t>
  </si>
  <si>
    <t>% / Maximum</t>
  </si>
  <si>
    <t>タスクに接続したEBSのfilesystem使用率。</t>
  </si>
  <si>
    <t>EBS使用構成のみ。すべてのFargateタスクで存在する指標としない。</t>
  </si>
  <si>
    <t>CPU待ち / 深掘り</t>
  </si>
  <si>
    <t>標準指標だけで確定しない
CPU quota / schedulingの追加観測</t>
  </si>
  <si>
    <t>JFR・実行待ち・利用率で照合</t>
  </si>
  <si>
    <t>CPUが足りず順番を待つ可能性。</t>
  </si>
  <si>
    <t>k8sのcontainer_cpu_cfs_throttled_seconds_total等がFargateの標準CloudWatch指標だと決め付けない。利用可能な追加収集を実環境で確認する。</t>
  </si>
  <si>
    <t>S05 S56</t>
  </si>
  <si>
    <t>DB・キャッシュ・非同期・ストレージの指標</t>
  </si>
  <si>
    <t>EAPのCPUが低くても、依存先待ちならAPIは遅くなる。採用されているサービスだけを対象にする。DBエンジン、ノード型/Serverless、ストレージ方式により指標の有無・単位が違う。</t>
  </si>
  <si>
    <t>RDS / 必須</t>
  </si>
  <si>
    <t>AWS/RDS
CPUUtilization</t>
  </si>
  <si>
    <t>DB処理のCPU負荷。</t>
  </si>
  <si>
    <t>高負荷時はDatabase InsightsのCPU待ちとSQLを確認。低CPUでもロックやI/O待ちは起こる。</t>
  </si>
  <si>
    <t>S17 S20</t>
  </si>
  <si>
    <t>AWS/RDS
DatabaseConnections</t>
  </si>
  <si>
    <t>Count / Average・Maximum</t>
  </si>
  <si>
    <t>DBへのクライアント接続。</t>
  </si>
  <si>
    <t>EAPのInUseCountと同じではない。アイドル接続もある。task数×各pool上限がDB接続枠を圧迫しないか確認。</t>
  </si>
  <si>
    <t>S17 S50</t>
  </si>
  <si>
    <t>AWS/RDS
FreeableMemory
SwapUsage</t>
  </si>
  <si>
    <t>Bytes / Minimum（空き）・Maximum</t>
  </si>
  <si>
    <t>DBのメモリ余裕とswapの兆候。</t>
  </si>
  <si>
    <t>ここはDBサーバーのメモリ。EAP JVMのヒープとは無関係。DB cacheで使用率が高いこと自体は異常とは限らない。</t>
  </si>
  <si>
    <t>S17</t>
  </si>
  <si>
    <t>RDS / 推奨</t>
  </si>
  <si>
    <t>AWS/RDS
ReadLatency / WriteLatency
ReadIOPS / WriteIOPS
DiskQueueDepth</t>
  </si>
  <si>
    <t>遅延: Seconds
IOPS: Count/Second
queue: Count</t>
  </si>
  <si>
    <t>ディスク読み書きの待ちと処理量。</t>
  </si>
  <si>
    <t>IOPSだけで速い/遅いを決めない。遅延と待ち行列が増えているかを見る。SQL実行時間そのものではない。</t>
  </si>
  <si>
    <t>RDS / 条件付き</t>
  </si>
  <si>
    <t>AWS/RDS
CPUCreditBalance
BurstBalance
EBSIOBalance%</t>
  </si>
  <si>
    <t>Credits / %
Minimumを確認</t>
  </si>
  <si>
    <t>バーストの残り能力。</t>
  </si>
  <si>
    <t>t系、gp2、対応instance等の条件がある。短時間だけ通り、長時間で遅くなる原因候補。非対応構成の欠測を障害扱いしない。</t>
  </si>
  <si>
    <t>DB / 最優先の深掘り</t>
  </si>
  <si>
    <t>Database Insights
DB Load（Average Active Sessions）</t>
  </si>
  <si>
    <t>平均実行中/待機中セッション数</t>
  </si>
  <si>
    <t>DBの仕事量と、CPU・I/O・ロック待ちの内訳。</t>
  </si>
  <si>
    <t>CPU成分をvCPUと比較し、wait/SQLを絞る。AAS全体がvCPUを超えただけでCPU不足と断定しない。接続数とも別。</t>
  </si>
  <si>
    <t>Aurora / 利用時</t>
  </si>
  <si>
    <t>AWS/RDS
AuroraReplicaLag
BufferCacheHitRatio</t>
  </si>
  <si>
    <t>lag: Milliseconds
hit: Percent</t>
  </si>
  <si>
    <t>読み取り側の遅れとcache効率。</t>
  </si>
  <si>
    <t>writer/readerを分ける。RDSのReplicaLagはSecondsなので混ぜない。エンジン対応を確認。</t>
  </si>
  <si>
    <t>S17 S18</t>
  </si>
  <si>
    <t>Aurora Serverless v2 / 利用時</t>
  </si>
  <si>
    <t>AWS/RDS
ServerlessDatabaseCapacity
ACUUtilization</t>
  </si>
  <si>
    <t>ACU / Percent</t>
  </si>
  <si>
    <t>伸縮したDB容量と、設定上限に対する利用。</t>
  </si>
  <si>
    <t>最小/最大ACU、変化の時刻、SQLの遅延を並べる。ECSの伸縮とDBの伸縮は別。</t>
  </si>
  <si>
    <t>S18</t>
  </si>
  <si>
    <t>RDS Proxy / 利用時</t>
  </si>
  <si>
    <t>AWS/RDS
DatabaseConnectionsBorrowLatency
DatabaseConnections
ClientConnections</t>
  </si>
  <si>
    <t>借用遅延: Microseconds
接続: Count</t>
  </si>
  <si>
    <t>Proxyの先でDB接続を借りる待ち。</t>
  </si>
  <si>
    <t>EAP pool待ちとProxy待ちは別段階。pinningや上限も確認。microsecondsをmsへ直す時は÷1000。</t>
  </si>
  <si>
    <t>S23</t>
  </si>
  <si>
    <t>ElastiCacheノード型 / 利用時</t>
  </si>
  <si>
    <t>AWS/ElastiCache
EngineCPUUtilization
CPUUtilization</t>
  </si>
  <si>
    <t>エンジンのCPUとノード全体のCPU。</t>
  </si>
  <si>
    <t>片方だけ正常でも安心しない。ノード/シャード別の偏りを見る。Serverlessへ同じ表をそのまま適用しない。</t>
  </si>
  <si>
    <t>S24</t>
  </si>
  <si>
    <t>AWS/ElastiCache
DatabaseMemoryUsagePercentage
Evictions</t>
  </si>
  <si>
    <t>%: Maximum
Count: Sum</t>
  </si>
  <si>
    <t>cacheの容量と上限によるkey追い出し。</t>
  </si>
  <si>
    <t>追い出し→cache miss→DB呼出し増という連鎖を調べる。EAPのheapとは別のメモリ。</t>
  </si>
  <si>
    <t>AWS/ElastiCache
CacheHits / CacheMisses
CurrConnections / NewConnections
ReplicationLag</t>
  </si>
  <si>
    <t>件数: Sum
接続: Maximum
lag: Seconds</t>
  </si>
  <si>
    <t>cacheの効き、接続再利用、複製遅延。</t>
  </si>
  <si>
    <t>同じcache keyばかりの試験では本番より軽くなる。値のサイズ・分布・TTLを再現する。</t>
  </si>
  <si>
    <t>SQS / 利用時</t>
  </si>
  <si>
    <t>AWS/SQS
ApproximateAgeOfOldestMessage</t>
  </si>
  <si>
    <t>Seconds / Maximum</t>
  </si>
  <si>
    <t>列の先頭が何秒待っているか。</t>
  </si>
  <si>
    <t>APIが202を速く返しても後段が終わっているとは限らない。再試行やDLQを含めて業務完了時間を測る。</t>
  </si>
  <si>
    <t>S28</t>
  </si>
  <si>
    <t>AWS/SQS
ApproximateNumberOfMessagesVisible
ApproximateNumberOfMessagesNotVisible</t>
  </si>
  <si>
    <t>未処理の待ちと処理中の量。</t>
  </si>
  <si>
    <t>近似値。NumberOfMessagesSent/Deleted等と照合するが、再配信があるので単純な一意件数の台帳にはしない。</t>
  </si>
  <si>
    <t>Lambda / 利用時</t>
  </si>
  <si>
    <t>AWS/Lambda
Duration / Errors / Throttles
ConcurrentExecutions</t>
  </si>
  <si>
    <t>Duration: ms / 分位点
件数: Sum
同時実行: Maximum</t>
  </si>
  <si>
    <t>関数の遅延、失敗、制限、同時実行。</t>
  </si>
  <si>
    <t>Durationだけで利用者の全時間やcold start全体を説明しない。init情報はログ/traceで補う。</t>
  </si>
  <si>
    <t>S29</t>
  </si>
  <si>
    <t>DynamoDB / 利用時</t>
  </si>
  <si>
    <t>AWS/DynamoDB
SuccessfulRequestLatency
ReadThrottleEvents
WriteThrottleEvents</t>
  </si>
  <si>
    <t>遅延: ms
制限: Count / Sum</t>
  </si>
  <si>
    <t>成功した処理の遅延と容量制限。</t>
  </si>
  <si>
    <t>クライアントでの再試行やnetwork時間は成功時サーバー遅延だけには出ない。table/index/operationを分ける。</t>
  </si>
  <si>
    <t>S30</t>
  </si>
  <si>
    <t>S3 / 利用時</t>
  </si>
  <si>
    <t>AWS/S3
FirstByteLatency
TotalRequestLatency
5xxErrors</t>
  </si>
  <si>
    <t>遅延: ms
失敗: Count / Sum</t>
  </si>
  <si>
    <t>オブジェクト転送の初期応答と全体。</t>
  </si>
  <si>
    <t>リクエストメトリクスは事前有効化。日次のBucketSizeBytesだけではAPI性能を診断できない。</t>
  </si>
  <si>
    <t>S31</t>
  </si>
  <si>
    <t>EFS / 利用時</t>
  </si>
  <si>
    <t>AWS/EFS
PercentIOLimit
BurstCreditBalance
PermittedThroughput</t>
  </si>
  <si>
    <t>% / Bytes / Bytes/Second</t>
  </si>
  <si>
    <t>共有filesystemの処理枠と余裕。</t>
  </si>
  <si>
    <t>スループットモード等で適用が変わる。EAPログを同期書込みする構成ではI/O待ちと照合。</t>
  </si>
  <si>
    <t>S32</t>
  </si>
  <si>
    <t>JBoss EAPのJVMはどの指標で見るか</t>
  </si>
  <si>
    <t>上段はApplication Signalsの正式メトリクス。名前空間はApplicationSignals、標準のランタイム次元はServiceとEnvironment。ここではタスク別ヒープ最大値やXmxが自動で揃うとは扱わない。下段の『補完』は追加計測。</t>
  </si>
  <si>
    <t>ヒープ / 必須</t>
  </si>
  <si>
    <t>ApplicationSignals
JVMMemoryHeapUsed</t>
  </si>
  <si>
    <t>Bytes / Average・Maximum</t>
  </si>
  <si>
    <t>ヒープで現在使っている量。</t>
  </si>
  <si>
    <t>EAPのオブジェクト置場の量。GCで上下する波と、負荷停止後の落ち方を見る。サービス集計と単一JVMを混同しない。</t>
  </si>
  <si>
    <t>S01 S54</t>
  </si>
  <si>
    <t>GC後 / 必須</t>
  </si>
  <si>
    <t>ApplicationSignals
JVMMemoryUsedAfterLastGC</t>
  </si>
  <si>
    <t>直近GC後に観測したメモリ量。</t>
  </si>
  <si>
    <t>poolとGC方式に依存。heap全体の厳密な生存object量と同一と決め付けず、長時間の底上がりの手掛かりにする。</t>
  </si>
  <si>
    <t>S01</t>
  </si>
  <si>
    <t>世代 / 推奨</t>
  </si>
  <si>
    <t>ApplicationSignals
JVMMemoryOldGenUsed</t>
  </si>
  <si>
    <t>長く生きるobject側の使用量。</t>
  </si>
  <si>
    <t>cacheの成長と漏れを見分けるため、安定負荷・GC後・無負荷回復を比較する。GC方式で領域構成が変わる。</t>
  </si>
  <si>
    <t>S01 S48</t>
  </si>
  <si>
    <t>若い領域 / 補助</t>
  </si>
  <si>
    <t>ApplicationSignals
JVMMemoryEdenSpaceUsed
JVMMemorySurvivorSpaceUsed</t>
  </si>
  <si>
    <t>新しいobjectと生き残り側の領域。</t>
  </si>
  <si>
    <t>短命objectを大量に作る処理の仮説に使う。割当速度そのものはJFR等で追加確認。</t>
  </si>
  <si>
    <t>S01 S56</t>
  </si>
  <si>
    <t>非ヒープ / 必須</t>
  </si>
  <si>
    <t>ApplicationSignals
JVMMemoryNonHeapUsed</t>
  </si>
  <si>
    <t>クラス情報・コード等の非ヒープ領域。</t>
  </si>
  <si>
    <t>JVMのnative memory全部を表すわけではない。direct buffer、thread stack、native library等は別途考える。</t>
  </si>
  <si>
    <t>S01 S54 S57</t>
  </si>
  <si>
    <t>GC時間 / 必須</t>
  </si>
  <si>
    <t>ApplicationSignals
JVMGCDuration</t>
  </si>
  <si>
    <t>Milliseconds / Sum・Maximum等</t>
  </si>
  <si>
    <t>GC処理時間の集計。</t>
  </si>
  <si>
    <t>収集方式を確認し、同じJVMのログと照合。GC総時間をそのまま利用者の停止時間や厳密なSTW率にしない。</t>
  </si>
  <si>
    <t>GC回数 / 必須</t>
  </si>
  <si>
    <t>ApplicationSignals
JVMGCCount</t>
  </si>
  <si>
    <t>None（回数）/ Sum等</t>
  </si>
  <si>
    <t>GC発生の頻度。</t>
  </si>
  <si>
    <t>頻度だけで悪いと断定しない。1回当たりの長さ、CPU、APIの裾の遅延を組み合わせる。</t>
  </si>
  <si>
    <t>G1の内訳 / 補助</t>
  </si>
  <si>
    <t>ApplicationSignals
JVMGCYoungGenDuration
JVMGCYoungGenCount</t>
  </si>
  <si>
    <t>ms / 回数</t>
  </si>
  <si>
    <t>若い世代に関するGCの時間と回数。</t>
  </si>
  <si>
    <t>公式にはG1のみ。Red Hat JDK21でShenandoah等を選んだ環境に同じ指標の存在を期待しない。</t>
  </si>
  <si>
    <t>ApplicationSignals
JVMGCOldGenDuration
JVMGCOldGenCount</t>
  </si>
  <si>
    <t>古い世代に関するGCの時間と回数。</t>
  </si>
  <si>
    <t>G1のみ。メトリクス名だけでFull GCの回数と同一視しない。GCログのpause/cycle分類を確認。</t>
  </si>
  <si>
    <t>スレッド / 必須</t>
  </si>
  <si>
    <t>ApplicationSignals
JVMThreadCount</t>
  </si>
  <si>
    <t>None（本数）/ Average・Maximum</t>
  </si>
  <si>
    <t>JVM内のthread量の変化。</t>
  </si>
  <si>
    <t>EAP workerのbusy数とは別。Java21のvirtual threadを含むすべての仕事数と断定しない。</t>
  </si>
  <si>
    <t>S01 S55</t>
  </si>
  <si>
    <t>クラス / 推奨</t>
  </si>
  <si>
    <t>ApplicationSignals
JVMClassLoaded</t>
  </si>
  <si>
    <t>None（クラス数）/ Average・Maximum</t>
  </si>
  <si>
    <t>ロードされたクラス量。</t>
  </si>
  <si>
    <t>初回アクセス時の増加はあり得る。デプロイ後も増え続ける時はclassloaderとMetaspaceを調べる。</t>
  </si>
  <si>
    <t>JVM CPU / 推奨</t>
  </si>
  <si>
    <t>ApplicationSignals
JVMCpuRecentUtilization
JVMCpuTime</t>
  </si>
  <si>
    <t>utilization: None
time: ns（単位表示None）</t>
  </si>
  <si>
    <t>JVM processから見たCPU利用。</t>
  </si>
  <si>
    <t>ECSの%と分母・表現を確認。CPU時間の累積性/送信集計を確認し、JVM間の時間をそのまま待ち時間へ変換しない。</t>
  </si>
  <si>
    <t>ヒープ上限 / 補完必須</t>
  </si>
  <si>
    <t>JMX MemoryMXBean
HeapMemoryUsage.max
カスタム例: HeapMaxBytes</t>
  </si>
  <si>
    <t>Bytes / JVMごとの値</t>
  </si>
  <si>
    <t>JVMに設定されたヒープの最大量。</t>
  </si>
  <si>
    <t>Application Signals標準表にHeapMax指標はない。Xmx/MaxRAMPercentageの実効結果をJMX/jcmdで確認し、必要なら独自送信。</t>
  </si>
  <si>
    <t>S01 S53 S56</t>
  </si>
  <si>
    <t>確保済み / 補完推奨</t>
  </si>
  <si>
    <t>JMX MemoryMXBean
HeapMemoryUsage.committed
カスタム例: HeapCommittedBytes</t>
  </si>
  <si>
    <t>ヒープへ確保している量。</t>
  </si>
  <si>
    <t>usedとの余白と拡張を見る。committedをRSSと同一視しない。max=-1等の未定義値は率の計算から除外。</t>
  </si>
  <si>
    <t>S53</t>
  </si>
  <si>
    <t>pool別 / 補完</t>
  </si>
  <si>
    <t>JMX MemoryPoolMXBean
Usage / CollectionUsage</t>
  </si>
  <si>
    <t>Bytes / pool別ゲージ</t>
  </si>
  <si>
    <t>Metaspace・Code Cache等を分解。</t>
  </si>
  <si>
    <t>名前はGC/JDKに依存。pool名を固定して全collectorに適用しない。</t>
  </si>
  <si>
    <t>S47 S54</t>
  </si>
  <si>
    <t>native側 / 補完</t>
  </si>
  <si>
    <t>BufferPoolMXBean
MemoryUsed / TotalCapacity / Count
NMT / JFR</t>
  </si>
  <si>
    <t>Bytes・個数・診断イベント</t>
  </si>
  <si>
    <t>direct/mapped bufferやnative領域の候補。</t>
  </si>
  <si>
    <t>HeapUsedが平らでも外側だけ増える場合に使用。NMTも全native libraryの確保を完全追跡するわけではない。</t>
  </si>
  <si>
    <t>S56 S57</t>
  </si>
  <si>
    <t>thread状態 / 補完</t>
  </si>
  <si>
    <t>ThreadMXBean / thread dump
RUNNABLE / BLOCKED / WAITING</t>
  </si>
  <si>
    <t>本数・stack trace</t>
  </si>
  <si>
    <t>仕事中か、ロック・I/O・pool待ちか。</t>
  </si>
  <si>
    <t>1回のsnapshotで結論を出さず間隔を空けて複数回。採取そのものの負荷と権限を考慮する。</t>
  </si>
  <si>
    <t>S55 S56</t>
  </si>
  <si>
    <t>EC2/EKS向け別経路</t>
  </si>
  <si>
    <t>CloudWatch agent JMX
jvm.memory.heap.used
jvm.memory.heap.committed
jvm.memory.heap.max</t>
  </si>
  <si>
    <t>Bytes / CWAgent等の設定先</t>
  </si>
  <si>
    <t>CloudWatch agentにもJMX収集機能はある。</t>
  </si>
  <si>
    <t>公式手順の対象はEC2/EKS。Fargateへそのまま対応済みと断定しない。本資料ではFargate向けに明示されたPrometheus/EMF経路を補完候補にする。</t>
  </si>
  <si>
    <t>S41 S42</t>
  </si>
  <si>
    <t>部屋・机・引き出しで理解するJVMメモリ</t>
  </si>
  <si>
    <t>ここが今回の中心。『どのAWSサービスを見るか』に加え、『その数字は何を数えているか』まで理解すると、誤った増強を避けられる。数値例は説明用。</t>
  </si>
  <si>
    <t>入れ子の構造</t>
  </si>
  <si>
    <t>Fargate taskは部屋、EAPコンテナは作業区画、JVMは料理人、heapは机。</t>
  </si>
  <si>
    <t>taskはEAPと監視sidecar等を含む。JVM processはheapに加えnon-heap/nativeを使う。コンテナ側のメモリ観測はその外側。</t>
  </si>
  <si>
    <t>task→container→process→heapの順に境界を確認。数値が異なることは直ちに矛盾ではない。図解も参照。</t>
  </si>
  <si>
    <t>S05 S53 S54</t>
  </si>
  <si>
    <t>used</t>
  </si>
  <si>
    <t>机の上に今置いてある材料の量。</t>
  </si>
  <si>
    <t>ヒープ使用中の量。まだGCに回収されていない不要objectも含み得る。『業務で必要なデータだけ』ではない。</t>
  </si>
  <si>
    <t>JVMMemoryHeapUsedをまず見る。増加の傾き、GCで下がる幅、負荷終了後の状態を記録する。</t>
  </si>
  <si>
    <t>S01 S53</t>
  </si>
  <si>
    <t>committed</t>
  </si>
  <si>
    <t>料理人のために確保した机の広さ。空き部分も含む。</t>
  </si>
  <si>
    <t>JVMがヒープ用に確保した容量。used以上で、定義済みのmax以下。OSの物理メモリ消費と単純な同義ではない。</t>
  </si>
  <si>
    <t>heap拡張が続くかを見る。usedが小さくてもcommittedが大きいと、外側のメモリがすぐ小さくなるとは限らない。</t>
  </si>
  <si>
    <t>max / Xmx</t>
  </si>
  <si>
    <t>これ以上広げないという机の最大サイズ。</t>
  </si>
  <si>
    <t>-Xmxはheap上限。Java process全体やFargate taskの上限ではない。明示Xmxがなければcontainer認識や他の起動設定の影響を受ける。</t>
  </si>
  <si>
    <t>タスク定義だけではXmxの実効値は確定しない。起動スクリプト・イメージの計算・jcmd/JMXの結果を照合。</t>
  </si>
  <si>
    <t>S48 S53 S56</t>
  </si>
  <si>
    <t>init / Xms</t>
  </si>
  <si>
    <t>最初に用意する机の大きさ。</t>
  </si>
  <si>
    <t>初期heap設定。Xms=Xmxは拡張を抑えやすいが、メモリ予算や初期化時間との交換条件がある。</t>
  </si>
  <si>
    <t>一律に同値へ変更しない。起動時間、常駐量、スケールアウト時の立上がりを測って判断。</t>
  </si>
  <si>
    <t>S48 S53</t>
  </si>
  <si>
    <t>ヒープ率の分母</t>
  </si>
  <si>
    <t>机の使用率は『使った机÷最大の机』。部屋の広さでは割らない。</t>
  </si>
  <si>
    <t>同一JVM・同時刻のheap used/max。used/committedは『今確保しているheapの密度』という別の指標。</t>
  </si>
  <si>
    <t>サービス集計のHeapUsedを1taskのXmxで割らない。taskごとに計算して最大値や分布を集約する。</t>
  </si>
  <si>
    <t>GCの基本</t>
  </si>
  <si>
    <t>使い終わった材料の容器を片付けて机を空ける。</t>
  </si>
  <si>
    <t>GCは不要になったobjectを回収する。使っているうちに上がり、回収後に下がる鋸歯状の波は普通に起こる。</t>
  </si>
  <si>
    <t>1回の高い使用率でメモリ漏れと呼ばない。必要量と回収能力が釣り合っているかを見る。</t>
  </si>
  <si>
    <t>S48</t>
  </si>
  <si>
    <t>GC後の底が上がる</t>
  </si>
  <si>
    <t>片付けても机に残る荷物が増え続ける。</t>
  </si>
  <si>
    <t>長寿命object、cache成長、滞留要求、漏れなど複数候補がある。ウォームアップだけでも初期に増える。</t>
  </si>
  <si>
    <t>同じ負荷を長く継続し、安定後の傾向と無負荷回復を確認。残るobjectの参照はJFR/heap dumpで調べる。</t>
  </si>
  <si>
    <t>S48 S56</t>
  </si>
  <si>
    <t>短いGCが多い</t>
  </si>
  <si>
    <t>小さな片付けを何度もしている。</t>
  </si>
  <si>
    <t>短命objectを多く作るとyoung GCが増える。1回のpauseが小さくてもCPU消費やtail latencyへ影響し得る。</t>
  </si>
  <si>
    <t>GC回数・GC時間・CPU・p99を同時に見る。JSON変換、巨大配列、一時文字列などの仮説はJFRで確認。</t>
  </si>
  <si>
    <t>STWと並行GC</t>
  </si>
  <si>
    <t>全員の作業を止めて片付ける時間と、仕事を続けながら片付ける時間。</t>
  </si>
  <si>
    <t>GCのすべての時間がStop-The-Worldではない。G1には並行処理とpauseがある。Young/Mixed/Fullを分ける。</t>
  </si>
  <si>
    <t>厳密な停止時間はGCログのpauseとsafepointを確認。GCメトリクス合計をAPI停止時間と同一にしない。</t>
  </si>
  <si>
    <t>大きなobject</t>
  </si>
  <si>
    <t>机に一度に大きな鍋を置くと、ほかの作業場所が減る。</t>
  </si>
  <si>
    <t>大きい応答・バッチ・byte配列は割当とGCに影響。G1の大object扱いはregionサイズ等に依存。</t>
  </si>
  <si>
    <t>平均payloadだけでなく最大payloadを試す。JMeter自身も応答保存でメモリ不足になり得る。</t>
  </si>
  <si>
    <t>S48 S60</t>
  </si>
  <si>
    <t>Metaspace / Code Cache</t>
  </si>
  <si>
    <t>レシピ帳と、すぐ使える手順カード。</t>
  </si>
  <si>
    <t>クラスmetadataとJITコンパイル済みcode等。heapとは別の領域。クラスロードや再デプロイで変化する。</t>
  </si>
  <si>
    <t>NonHeapUsed、ClassLoaded、pool別JMXを照合。heapだけ増やす対処では直らない場合がある。</t>
  </si>
  <si>
    <t>thread stack</t>
  </si>
  <si>
    <t>料理人1人ごとに必要な手元の作業メモ。</t>
  </si>
  <si>
    <t>platform threadにはstackがある。threadを増やすとnative側の予算も必要。予約量と物理使用量は同じではない。</t>
  </si>
  <si>
    <t>thread数が増える設定変更時は、heap以外の余白と切替コストも測る。Java21だからEAPの全処理がvirtual threadになるわけではない。</t>
  </si>
  <si>
    <t>S55 S57</t>
  </si>
  <si>
    <t>direct buffer / native</t>
  </si>
  <si>
    <t>机の外に置く配送用の箱。</t>
  </si>
  <si>
    <t>NIO bufferやnative libraryの確保はheapの外。JVM NonHeapUsedですべてを説明できるわけでもない。</t>
  </si>
  <si>
    <t>heapが安定してcontainerだけ増えるならBufferPool、NMT、JFR、ログ書込み等を順に調べる。</t>
  </si>
  <si>
    <t>S54 S57</t>
  </si>
  <si>
    <t>Java OutOfMemoryError</t>
  </si>
  <si>
    <t>料理人が『自分の机や道具の置場が足りない』と報告する。</t>
  </si>
  <si>
    <t>Java heap space、Metaspace、direct buffer、native thread等で原因が異なる。例外文字列とdump条件を確認する。</t>
  </si>
  <si>
    <t>HeapDumpOnOutOfMemoryErrorは主にheapの証拠取得に有用。どのOOMでも必ず完全なdumpが得られると期待しない。</t>
  </si>
  <si>
    <t>コンテナOOM kill</t>
  </si>
  <si>
    <t>部屋全体が満杯になり、外の管理者が作業を止める。</t>
  </si>
  <si>
    <t>メモリ制限によりprocessが外側から終了すると、Java例外やheap dumpを残す機会がない場合がある。</t>
  </si>
  <si>
    <t>ECS停止理由、container exit code、直前のtask/containerメモリを見る。exit 137だけでOOMと断定しない。</t>
  </si>
  <si>
    <t>S05 S09 S61</t>
  </si>
  <si>
    <t>監視sidecarの予算</t>
  </si>
  <si>
    <t>記録係にも椅子と机が必要。</t>
  </si>
  <si>
    <t>Collectorは受信・圧縮・queue・送信にCPUとメモリを使う。spanが多いほど負担が増え、送信先不調でqueueが膨らむこともある。</t>
  </si>
  <si>
    <t>taskの全RAMをXmxにしない。EAPとsidecarを別に監視し、計装ありの状態を本番相当として試す。</t>
  </si>
  <si>
    <t>S03 S05</t>
  </si>
  <si>
    <t>4GiB taskの設計例</t>
  </si>
  <si>
    <t>部屋を机だけで埋めず、通路と記録係の場所も残す。</t>
  </si>
  <si>
    <t>例：task4096MiB、EAP上限3584MiB、監視384MiB、調整余地128MiB。EAP内heap上限2048MiBとし、残りはnative等と余裕へ配分。</t>
  </si>
  <si>
    <t>数値は推奨設定ではない。JVMの予約/確保/実使用が混ざるため厳密なRSSの足し算にしない。実負荷のピークと長時間試験で見直す。</t>
  </si>
  <si>
    <t>S03 S53 S57</t>
  </si>
  <si>
    <t>診断ファイルの置場</t>
  </si>
  <si>
    <t>部屋が片付けられる前に、写真を安全な場所へ移す。</t>
  </si>
  <si>
    <t>taskの一時filesystemはtask終了後の保管場所にならない。heap dumpやJFRには業務データが含まれ得る。</t>
  </si>
  <si>
    <t>書込み権限・空き容量・暗号化した永続保存先・回収手順・保管期限を事前に決める。巨大dump採取中の性能値は別扱い。</t>
  </si>
  <si>
    <t>S05 S56 S61</t>
  </si>
  <si>
    <t>JVMの中で動くJBoss EAPの待ちを調べる</t>
  </si>
  <si>
    <t>JVMの健康とEAPの処理能力は同じではない。ここにある管理属性はAWS標準メトリクスではなく、管理CLI・JMX・exporter等で取得して送信する。subsystem名とresource名は実環境で確認する。</t>
  </si>
  <si>
    <t>Undertow → worker → 業務処理</t>
  </si>
  <si>
    <t>受付が仕事を料理人へ渡し、料理人が倉庫へ材料を取りに行く。</t>
  </si>
  <si>
    <t>EAPのHTTP処理はUndertow等を通り、I/O workerや業務thread、datasourceを利用。入口が空いていても途中の資源で待つ。</t>
  </si>
  <si>
    <t>API traceとworker queue、DB poolを一緒に見る。CPU・heapだけでは待ち場所が見えない。</t>
  </si>
  <si>
    <t>S40 S50</t>
  </si>
  <si>
    <t>busy-task-thread-count</t>
  </si>
  <si>
    <t>今仕事中の料理人の推定人数。</t>
  </si>
  <si>
    <t>/subsystem=io/worker=&lt;名前&gt; の実行時属性。JVMThreadCountとは違い、workerの忙しさを見る。</t>
  </si>
  <si>
    <t>max-pool-sizeやqueue-sizeと照合。待機でthreadが埋まっているなら、thread数の増加だけで解決しない。</t>
  </si>
  <si>
    <t>S50</t>
  </si>
  <si>
    <t>queue-size / max-pool-size</t>
  </si>
  <si>
    <t>料理人の前に並ぶ注文と、増員できる上限。</t>
  </si>
  <si>
    <t>worker queueの推定待ち件数とpool上限。値は瞬間の観測であり、短いピークを取り逃がし得る。</t>
  </si>
  <si>
    <t>p99上昇の時間にqueueも伸びるか調べる。DBや外部API待ちによる二次的な混雑の可能性も検討。</t>
  </si>
  <si>
    <t>InUseCount / MaxUsedCount</t>
  </si>
  <si>
    <t>貸し出し中の倉庫の鍵と、過去の最大貸出数。</t>
  </si>
  <si>
    <t>datasource poolの現在使用中接続と最大使用数。単なる接続総数とは違う。</t>
  </si>
  <si>
    <t>InUseCountが上限に張り付く時、SQLが遅い・返却漏れ・小さ過ぎるpoolなどを比較する。</t>
  </si>
  <si>
    <t>ActiveCount / AvailableCount</t>
  </si>
  <si>
    <t>用意されている鍵と、利用できる余地。</t>
  </si>
  <si>
    <t>ActiveCountには使用中だけでなく利用可能な接続も含む。AvailableCountの意味はpool実装・管理定義に合わせて読む。</t>
  </si>
  <si>
    <t>ActiveCountを使用中接続数として扱わない。IdleCountやInUseCount、設定上限と並べて解釈。</t>
  </si>
  <si>
    <t>AverageGetTime / AverageBlockingTime</t>
  </si>
  <si>
    <t>鍵を借りるまでの時間と、poolの排他制御で待つ時間。</t>
  </si>
  <si>
    <t>接続取得とpool lock待ちに関する統計。SQLを実行する時間そのものではない。長期間の累積平均では直近の悪化が薄まる。</t>
  </si>
  <si>
    <t>試験前の値を保存し、取得時刻やリセット条件も記録。平均だけでなく待ち件数・timeoutと組み合わせる。</t>
  </si>
  <si>
    <t>S50 S51</t>
  </si>
  <si>
    <t>WaitCount / MaxWaitCount / TimedOut</t>
  </si>
  <si>
    <t>鍵待ちになった回数や最大待ち人数と、期限切れになった接続は別に数える。</t>
  </si>
  <si>
    <t>WaitCount/MaxWaitCountは接続取得待ちの統計。TimedOutはタイムアウトした接続数で、業務要求の接続取得タイムアウト件数と同一視しない。</t>
  </si>
  <si>
    <t>待ち失敗はBlockingFailureCountや例外ログと照合。counterは試験前後の差分を使い、採用poolの管理属性説明で定義を確認する。</t>
  </si>
  <si>
    <t>統計を事前に有効化</t>
  </si>
  <si>
    <t>記録係を試験が終わってから呼んでも、過去は書けない。</t>
  </si>
  <si>
    <t>datasourceのstatistics-enabledは既定で無効。反映にreloadが必要になる場合がある。</t>
  </si>
  <si>
    <t>本試験より前に有効化・再デプロイして少量負荷で値を確認。計測途中のreloadで結果を混ぜない。</t>
  </si>
  <si>
    <t>S49 S51</t>
  </si>
  <si>
    <t>DB接続数の掛け算</t>
  </si>
  <si>
    <t>1教室20本の鍵でも、10教室なら最大200本。</t>
  </si>
  <si>
    <t>複数task×各datasource最大接続に加え、バッチ・管理・他サービスの接続がDBへ集まる。</t>
  </si>
  <si>
    <t>scale-out最大task数でDB接続予算を計算。task追加がDB過負荷を悪化させる場合がある。</t>
  </si>
  <si>
    <t>S17 S49</t>
  </si>
  <si>
    <t>HTTP client pool・外部依存</t>
  </si>
  <si>
    <t>倉庫ではなく配送業者の受付が詰まっている場合もある。</t>
  </si>
  <si>
    <t>下流HTTP clientの接続pool、timeout、retryも待ちの原因。自動計装の対応はclient libraryに依存。</t>
  </si>
  <si>
    <t>接続取得待ち・connect・read timeout・retry回数を分ける。外部APIの規約に合わせて負荷を制御する。</t>
  </si>
  <si>
    <t>S40</t>
  </si>
  <si>
    <t>EJB / transaction / session</t>
  </si>
  <si>
    <t>食事1セットを完成させるまで、複数の道具を借りたままにする。</t>
  </si>
  <si>
    <t>利用しているsubsystemに応じてEJB pool、transaction timeout、HTTP session、cacheが影響する。</t>
  </si>
  <si>
    <t>本当に使っている機能だけ追加監視。すべてのMBeanを無差別に送らず、仮説に必要なものを選ぶ。</t>
  </si>
  <si>
    <t>S47 S50</t>
  </si>
  <si>
    <t>EAP8.1と過去の設定例</t>
  </si>
  <si>
    <t>前の学校の鍵が、新しい学校で同じとは限らない。</t>
  </si>
  <si>
    <t>EAP7.4のMicroProfile Metrics設定や/metricsの存在をEAP8.1へそのまま仮定しない。XP6は追加構成であり、今回導入済みとは限らない。</t>
  </si>
  <si>
    <t>本資料は標準JMX/管理モデルと外付けagentを軸にする。Tomcat専用のCatalina MBean例をUndertowへ流用しない。</t>
  </si>
  <si>
    <t>S41 S50 S52</t>
  </si>
  <si>
    <t>FargateからJVM情報を届ける仕組み</t>
  </si>
  <si>
    <t>推奨する入口はA：Application Signals。個別JVMの上限やEAP内部統計が必要な時にB/Cで補完する。これは構成の提案で、既存環境へ変更を実施した結果ではない。</t>
  </si>
  <si>
    <t>A：標準APMの経路</t>
  </si>
  <si>
    <t>時計→記録係→掲示板。</t>
  </si>
  <si>
    <t>EAP JVM内ADOT Java agent → 同じtaskのCloudWatch agent → Application SignalsとX-Ray。メトリクスとtraceは別の種類のデータとして送る。</t>
  </si>
  <si>
    <t>まずこの経路でAPI遅延・依存先・基本JVM指標を揃える。Fargateはawsvpcのsidecar方式で、EC2向けdaemon方式を使わない。</t>
  </si>
  <si>
    <t>S02 S03</t>
  </si>
  <si>
    <t>A1：バージョンを記録</t>
  </si>
  <si>
    <t>『同じ時計』と言っても型番が違うと動きが違う。</t>
  </si>
  <si>
    <t>EAP8.1のupdate、Red Hat JDK21のpatch/build、image digest、ADOT Java agent、CloudWatch agentを固定して記録。</t>
  </si>
  <si>
    <t>公式最低条件はJava SDK1.32.5/CloudWatch agent1.300049.1。JBoss/WildFly既知問題は1.32.6で修正。これは最新推奨版という意味ではなく、現行の検証済み版を選ぶための下限情報。</t>
  </si>
  <si>
    <t>S01 S04 S45</t>
  </si>
  <si>
    <t>A2：agentの配置</t>
  </si>
  <si>
    <t>調理が始まる前に時計を取り付ける。</t>
  </si>
  <si>
    <t>-javaagentでサーバーJVM起動時に読み込む。公式ECS例はinit containerが共有volumeへjarを置き、成功後にEAPを起動する構成。</t>
  </si>
  <si>
    <t>イメージへの組込みも設計候補。既存JAVA_TOOL_OPTIONS/JAVA_OPTSを消さずに統合。Java agentのjarが存在し読めることを確認。</t>
  </si>
  <si>
    <t>S03</t>
  </si>
  <si>
    <t>A3：sidecar設定</t>
  </si>
  <si>
    <t>記録係が隣に座り、localhostで受け取る。</t>
  </si>
  <si>
    <t>CloudWatch agent設定でapplication_signalsのtraceとmetric受信を有効化。taskのawsvpcでは同一task内通信にlocalhostを使える。</t>
  </si>
  <si>
    <t>APM例の4316と一般OTLPの4317/4318を混同しない。受信設定・protocol・pathを送信側と一致させる。</t>
  </si>
  <si>
    <t>A4：サービス名・環境名</t>
  </si>
  <si>
    <t>同じ名前の教室の数字を混ぜないために札を付ける。</t>
  </si>
  <si>
    <t>service.nameとdeployment.environmentを設定する。ECS Application Signalsではサービス名を明示する。</t>
  </si>
  <si>
    <t>本番と性能試験の値を混ぜない。taskごとの識別は別のresource属性やログ/カスタム指標で補う。</t>
  </si>
  <si>
    <t>A5：IAMを分ける</t>
  </si>
  <si>
    <t>記録係の権限と、荷物を運び込む係の権限は別。</t>
  </si>
  <si>
    <t>task roleはコンテナ内agentのAWS送信に使う。execution roleはimage取得、awslogs、task定義で参照するSSM/Secrets等に使う。</t>
  </si>
  <si>
    <t>公式のCloudWatchAgentServerPolicyを出発点に必要操作を確認。読み取り者にもMetrics/Logs/Traceの必要範囲を付与し、無制限な権限で代用しない。</t>
  </si>
  <si>
    <t>S03 S43 S62</t>
  </si>
  <si>
    <t>A6：private subnet</t>
  </si>
  <si>
    <t>記録先へ道がなければ、時計が正しくてもノートは空白。</t>
  </si>
  <si>
    <t>Logs、監視、X-Ray、ECR等の必要通信をNATまたは適切なVPC endpointで確保。構成次第でSSM等も必要。</t>
  </si>
  <si>
    <t>Collectorの送信失敗、DNS、SG、endpoint policyを確認。APIの外向き経路と監視の送信経路を区別する。</t>
  </si>
  <si>
    <t>S03 S61</t>
  </si>
  <si>
    <t>A7：画面での確認</t>
  </si>
  <si>
    <t>数字がノートまで届いたことを確かめる。</t>
  </si>
  <si>
    <t>CloudWatch → Application Signals → 対象Service/Environment → runtime表示。Metrics → ApplicationSignalsでも正式名を選んで確認する。</t>
  </si>
  <si>
    <t>低負荷でHeapUsed/GC/threadの値をEAP側と照合。GC未発生による欠測と送信失敗を区別。画面名はconsole更新で変わり得る。</t>
  </si>
  <si>
    <t>S01 S03</t>
  </si>
  <si>
    <t>B：JMX → Prometheus</t>
  </si>
  <si>
    <t>JVMが持っている計器を、決まった形式の数字へ翻訳する。</t>
  </si>
  <si>
    <t>同一JVMのJMX Exporter → HTTP /metrics → CloudWatch agentまたはADOT Collector → CloudWatchのカスタム指標、またはAMP。</t>
  </si>
  <si>
    <t>heap used/max/committed、GC、thread、必要なEAP属性を補完。Prometheus endpointを用意しただけではAWSへの保存は始まらない。</t>
  </si>
  <si>
    <t>S42 S43 S44</t>
  </si>
  <si>
    <t>B1：公開範囲と取得対象</t>
  </si>
  <si>
    <t>机の横で読む計器を、道路へ公開する必要はない。</t>
  </si>
  <si>
    <t>同一taskのscrapeならJMX Exporterを127.0.0.1の専用portへbindする設計が可能。別task収集ならprivate到達経路と認証等を設計。</t>
  </si>
  <si>
    <t>remote JMX/RMIを無認証で外部公開しない。管理MBeanには値の取得以外の機能もある。JVM標準とEAP固有のMBean登録先を確認。</t>
  </si>
  <si>
    <t>S44 S47</t>
  </si>
  <si>
    <t>B2：指標の宣言と次元</t>
  </si>
  <si>
    <t>必要な項目だけ転記し、どのtaskの値かを残す。</t>
  </si>
  <si>
    <t>CloudWatch Prometheus収集ではscrape設定とmetric declaration/EMF変換を設計。AMPではlabelとremote_writeを設計。</t>
  </si>
  <si>
    <t>metric名はexporter/collector版で変わり得る。実際の/metricsを確認して表と合わせる。本資料の独自名をAWS組込み名として検索しない。</t>
  </si>
  <si>
    <t>S42 S43 S63</t>
  </si>
  <si>
    <t>C：管理API/JMX → EMF</t>
  </si>
  <si>
    <t>定期的に机と鍵の数を読み、決まったJSON用紙へ書く。</t>
  </si>
  <si>
    <t>軽量な収集処理がEAP管理情報を読み、EMFを標準出力へ出す。awslogsがCloudWatch Logsへ送り、指定のcustom namespaceへ指標化。</t>
  </si>
  <si>
    <t>管理CLIを毎秒起動する構成は計測負荷が大きくなり得る。再利用する軽量clientやexporterを選び、10～30秒等の間隔案を検証する。</t>
  </si>
  <si>
    <t>S51 S62 S63</t>
  </si>
  <si>
    <t>補完経路の選び方</t>
  </si>
  <si>
    <t>大きな掲示板と詳しいノートを、目的に応じて使い分ける。</t>
  </si>
  <si>
    <t>CloudWatch中心ならA＋不足するcustom指標。Prometheus中心ならB→AMP→Grafana。JMX直接収集のEC2/EKS手順は別枠。</t>
  </si>
  <si>
    <t>同じ指標を複数経路で送ると二重計上や課金増の原因。名前空間・識別ラベル・集計の責任を決める。</t>
  </si>
  <si>
    <t>S41 S42 S43</t>
  </si>
  <si>
    <t>EAP特有の起動・logging</t>
  </si>
  <si>
    <t>料理人の時計を付けたつもりで、管理係にも二重に付けない。</t>
  </si>
  <si>
    <t>JAVA_TOOL_OPTIONSはサーバー以外のJava起動にも影響し得る。JBoss Modules・log manager・別agentとの組合せが計装に影響する。</t>
  </si>
  <si>
    <t>jboss-cliを同じ環境で起動する場合も注意。trace_idのMDC連携は採用logging実装で実出力を確認し、自動で入ると仮定しない。</t>
  </si>
  <si>
    <t>S03 S40 S47</t>
  </si>
  <si>
    <t>有効化の完了条件</t>
  </si>
  <si>
    <t>時計が付いた、数字が届いた、正しい教室名になった、の3つ。</t>
  </si>
  <si>
    <t>アプリ起動だけでは計装成功とは言えない。HTTP server/clientとJDBC span、JVM値、エラーログ、実行IDのつながりを検証する。</t>
  </si>
  <si>
    <t>本試験前に正常APIと意図した失敗を少数送信し、各信号が見えることを確認。Collectorのqueue/drop/送信失敗も確認する。</t>
  </si>
  <si>
    <t>S01 S03 S40</t>
  </si>
  <si>
    <t>1回のAPIの旅を追う</t>
  </si>
  <si>
    <t>計測した処理と、まだ見えていない処理を区別する。JMeterのHTTP測定、ALBのヘッダー追跡、アプリのOpenTelemetry計装はそれぞれ別の役割を持つ。</t>
  </si>
  <si>
    <t>始まりから終わり</t>
  </si>
  <si>
    <t>1枚の注文票に番号を付け、受付から倉庫まで運ぶ。</t>
  </si>
  <si>
    <t>trace IDで処理全体を識別し、span IDと親IDで個々の処理を結ぶ。HTTP header等でcontextを次のサービスへ渡す。</t>
  </si>
  <si>
    <t>同じ要求をアプリ→JDBC→DBの順で追えるか事前確認。contextが途切れると別traceになる。</t>
  </si>
  <si>
    <t>JMeterは自動ではtraceしない</t>
  </si>
  <si>
    <t>ストップウォッチを押すだけでは、調理場の各作業は見えない。</t>
  </si>
  <si>
    <t>通常のHTTP Samplerは外部時間を測る。EAP内部のspanはアプリ側agent/SDKが作る。必要に応じてclient側も別途計装する。</t>
  </si>
  <si>
    <t>JMeter結果とログを実行ID・要求IDでつなぎ、ログにあるtrace IDへ進む方法がわかりやすい。任意の文字列をtraceparentへ入れない。</t>
  </si>
  <si>
    <t>S59 S60 S40</t>
  </si>
  <si>
    <t>ALBのX-Amzn-Trace-Id</t>
  </si>
  <si>
    <t>受付が注文票へ追跡番号を付ける。</t>
  </si>
  <si>
    <t>ALBはheaderを付与/更新できる。しかし、その設定だけでEAP内部やDB内部の詳細spanが生まれるわけではない。</t>
  </si>
  <si>
    <t>ALBアクセスログのtrace_idとアプリで採用するpropagatorを確認。W3C tracecontextとX-Ray形式の表記差も考慮。</t>
  </si>
  <si>
    <t>S12 S03</t>
  </si>
  <si>
    <t>入口の対応差</t>
  </si>
  <si>
    <t>すべての受付が同じ種類の注文票を作るとは限らない。</t>
  </si>
  <si>
    <t>API GatewayのX-Ray active tracingはREST API向けの手順。HTTP APIには同じ機能を当然に適用しない。</t>
  </si>
  <si>
    <t>REST/HTTP API、ALB、独自proxyごとにcontext伝搬を実測する。未計装の入口区間はアクセスログで補う。</t>
  </si>
  <si>
    <t>JDBC spanの境界</t>
  </si>
  <si>
    <t>倉庫へ問い合わせた往復時間と、倉庫内の棚探し時間は別。</t>
  </si>
  <si>
    <t>JDBC client spanはアプリ側から見たDB呼出し。network、driver処理、DB側の待ちが含まれ得る。</t>
  </si>
  <si>
    <t>DB内のSQL/lock/I/OへはDatabase Insightsで進む。connection取得待ちは通常のJDBC実行spanに含まれない場合がある。</t>
  </si>
  <si>
    <t>S20 S40</t>
  </si>
  <si>
    <t>接続取得の計装</t>
  </si>
  <si>
    <t>倉庫に入る鍵を借りる前に待っていると、入室後だけ測っても見つからない。</t>
  </si>
  <si>
    <t>上流OTelのjdbc-datasource計装は既定無効と案内されている。対応agent版と対象poolの動作確認が必要。</t>
  </si>
  <si>
    <t>必要なら限定的に有効化し負荷を比較。EAP pool統計も収集し、spanだけへ依存しない。</t>
  </si>
  <si>
    <t>親子spanの二重加算</t>
  </si>
  <si>
    <t>給食全体の10分に、調理の7分は含まれている。</t>
  </si>
  <si>
    <t>親spanの時間に子spanが入るため、単純合計は実時間を超える。並列呼出しは同時に進む。</t>
  </si>
  <si>
    <t>クリティカルパス（完了を決める最長の道筋）を見る。排他的な時間区間だけが足し算できる。</t>
  </si>
  <si>
    <t>S36</t>
  </si>
  <si>
    <t>sampling</t>
  </si>
  <si>
    <t>すべての注文票を詳しく保管するか、一部だけ保管するか決める。</t>
  </si>
  <si>
    <t>生成時・収集時・保存/索引で選別があり得る。低頻度の遅延は標本から抜けることがある。</t>
  </si>
  <si>
    <t>採用samplerと割合を試験計画へ記録。診断区間だけ増やす場合は監視CPU/メモリ、費用、欠落数も見る。</t>
  </si>
  <si>
    <t>S03 S37</t>
  </si>
  <si>
    <t>Transaction Searchの100%</t>
  </si>
  <si>
    <t>届いた注文票は全部保管できても、初めから書かなかった注文票は増えない。</t>
  </si>
  <si>
    <t>受信spanの取り込みとtrace summaryの索引は別。アプリやCollectorが落としたspanは後で復元できない。</t>
  </si>
  <si>
    <t>件数が少ない時に検索画面だけを疑わず、計装、sampling、送信、保存、索引の順に確認。</t>
  </si>
  <si>
    <t>非同期処理</t>
  </si>
  <si>
    <t>受付が『受け付けた』と言った後、別の係が配達を続ける。</t>
  </si>
  <si>
    <t>SQS等ではAPI完了と業務完了が分かれる。messageにcontext/関連IDを適切に伝える。trace linkを使う場合もある。</t>
  </si>
  <si>
    <t>JMeterの202応答時間に加え、注文受付から業務完了イベントまでの時間と失敗/DLQを測る。</t>
  </si>
  <si>
    <t>S28 S40</t>
  </si>
  <si>
    <t>taskとtraceの関連</t>
  </si>
  <si>
    <t>同じ教室名でも、どの机で処理したかを追う。</t>
  </si>
  <si>
    <t>service.nameは論理サービス名。task ID、image version、instance識別をresource属性やログへ残す。</t>
  </si>
  <si>
    <t>遅いtraceのtaskだけのCPU・heapを見る。ApplicationSignalsのService/Environment集計をそのtaskの値だと思い込まない。</t>
  </si>
  <si>
    <t>S01 S05</t>
  </si>
  <si>
    <t>業務失敗とHTTP失敗</t>
  </si>
  <si>
    <t>注文票の受取りは成功でも、肝心の食事が違えば目的は達成していない。</t>
  </si>
  <si>
    <t>Application SignalsのFault、ErrorとJMeter assertionの失敗は定義が違う。4XXはサービス可用性では故障扱いしない。</t>
  </si>
  <si>
    <t>HTTP200内の業務errorもassertion等で判定。availabilityだけで試験合格にしない。</t>
  </si>
  <si>
    <t>S01 S60</t>
  </si>
  <si>
    <t>JMeterの数字を正しくAWSへつなぐ</t>
  </si>
  <si>
    <t>負荷を出す側もJavaアプリ。測定器が先に苦しくなると、AWSの能力を正しく測れない。テスト対象と負荷生成器のJVMを別々に観測する。</t>
  </si>
  <si>
    <t>Elapsed / Latency / Connect</t>
  </si>
  <si>
    <t>全部受け取るまで、最初の返事まで、接続するまでの3つの時計。</t>
  </si>
  <si>
    <t>JMeterの指標は重なる区間を持つため、Elapsed=Latency+Connectではない。connection再利用時のConnectの意味も変わる。</t>
  </si>
  <si>
    <t>サンプラーとHTTP client設定を記録。DNS/TLS/network/本文転送を含む実際の区間を確認する。</t>
  </si>
  <si>
    <t>Throughputと成功RPS</t>
  </si>
  <si>
    <t>たくさん配っていても、間違った食事ばかりなら成功とは言えない。</t>
  </si>
  <si>
    <t>成功した要求の数/秒と、すべての完了数/秒を区別する。再試行を含めたサーバー到達数も別。</t>
  </si>
  <si>
    <t>API labelを安定させ、成功率と時間を両方集計。Transaction Controllerの親子sampleを二重計上しない。</t>
  </si>
  <si>
    <t>S59 S60</t>
  </si>
  <si>
    <t>thread数とRPS</t>
  </si>
  <si>
    <t>同じ人数でも、料理が遅くなると次の注文は遅れる。</t>
  </si>
  <si>
    <t>一般的なclosed modelでは各利用者が応答を待って次を送る。100threadは100RPSではない。</t>
  </si>
  <si>
    <t>到着率を保ちたい試験ではarrival modelを明示し、生成器が予定の到着数を出せたか測る。</t>
  </si>
  <si>
    <t>S60</t>
  </si>
  <si>
    <t>負荷が弱まる見落とし</t>
  </si>
  <si>
    <t>遅くなったため注文が減ると、列の長さが意外に小さく見える。</t>
  </si>
  <si>
    <t>応答待ちの間に新規要求を出さないモデルは、一定到着率の現実と違う結果になり得る。coordinated omissionの問題として考える。</t>
  </si>
  <si>
    <t>計画RPS・開始RPS・完了RPSを分ける。thread追加で解消したつもりになる前に生成器容量を確認。</t>
  </si>
  <si>
    <t>ウォームアップ</t>
  </si>
  <si>
    <t>最初に道具を出す時間と、作業に慣れた後は別。</t>
  </si>
  <si>
    <t>JIT、class loading、DB接続、cacheが温まる。初回アクセスと定常負荷を混ぜると解釈しづらい。</t>
  </si>
  <si>
    <t>起動直後の性能試験と定常性能試験を分ける。cold startを測る要件なら温めて除外しない。</t>
  </si>
  <si>
    <t>S48 S49</t>
  </si>
  <si>
    <t>非GUI実行</t>
  </si>
  <si>
    <t>測る係が毎回大きな図を描いて疲れないようにする。</t>
  </si>
  <si>
    <t>大量負荷ではGUIと重いListenerを減らす。応答bodyの大量保存はCPU・heap・diskを圧迫する。</t>
  </si>
  <si>
    <t>非GUI実行と必要なJTL保存を基本にする。試験後にHTML reportを作る。</t>
  </si>
  <si>
    <t>生成器の監視</t>
  </si>
  <si>
    <t>走る人だけでなく、ストップウォッチを持つ人の体力も見る。</t>
  </si>
  <si>
    <t>JMeter hostのCPU・heap・GC・network・file descriptor/port等が負荷上限になる。</t>
  </si>
  <si>
    <t>AWS側に余裕があるのにRPSが増えない時は最初に確認。分散生成時は各nodeを個別監視。</t>
  </si>
  <si>
    <t>clockと時間帯</t>
  </si>
  <si>
    <t>別の時計が5分ずれていると、同じ事件を別の時刻だと思う。</t>
  </si>
  <si>
    <t>端末・生成器・サーバー・DBの時刻同期とUTC/JSTの変換を揃える。durationの時計とwall clockの役割も違う。</t>
  </si>
  <si>
    <t>実行ID、開始/終了UTC、JST表示、負荷段階の境界を保存。到着遅延を出来事の時刻と混ぜない。</t>
  </si>
  <si>
    <t>相関ID</t>
  </si>
  <si>
    <t>注文票の番号をレシートと日記にも書く。</t>
  </si>
  <si>
    <t>test_run_idは試験全体、request_idはAPI1回、trace_idは分散処理の関連付け。目的が違う。</t>
  </si>
  <si>
    <t>実行ID・要求IDをJTLとアプリログへ記録。unique IDをCloudWatch metricのdimensionにはしない。</t>
  </si>
  <si>
    <t>S63</t>
  </si>
  <si>
    <t>データの現実性</t>
  </si>
  <si>
    <t>全員が同じ簡単な注文だと、本当の給食時間にならない。</t>
  </si>
  <si>
    <t>API比率、payload、DB件数、検索selectivity、cache key、認証、session、read/write比が性能を左右する。</t>
  </si>
  <si>
    <t>正常・最大payload・cache miss・更新競合を含める。秘密情報のない試験データを用意する。</t>
  </si>
  <si>
    <t>タイムアウト・再試行</t>
  </si>
  <si>
    <t>待ち切れず再注文すると、厨房では仕事が重なることがある。</t>
  </si>
  <si>
    <t>JMeter、ALB、EAP、DB、外部clientのtimeoutとretryは別。client timeout後もserverが処理を続ける場合がある。</t>
  </si>
  <si>
    <t>失敗を除外して平均だけ見ない。retryの有無と回数を固定し、二重処理や非同期滞留も確認。</t>
  </si>
  <si>
    <t>S11 S40</t>
  </si>
  <si>
    <t>ネットワーク条件</t>
  </si>
  <si>
    <t>学校の隣から注文するか、遠くの町から注文するかで時間が違う。</t>
  </si>
  <si>
    <t>負荷生成region、AZ、internet/VPN、TLS、Keep-Alive、圧縮、DNS cache、protocolで変わる。</t>
  </si>
  <si>
    <t>AWS内部の最大能力試験と実利用者相当のend-to-end試験を分けて設計し、結果へ条件を添える。</t>
  </si>
  <si>
    <t>分位点の母集団</t>
  </si>
  <si>
    <t>全員の列と、1組だけの列の95番目は別の人。</t>
  </si>
  <si>
    <t>JMeterとAWSで成功/失敗、開始/完了時刻、API分類、sampling等が違う。p95の差はnetworkのp95ではない。</t>
  </si>
  <si>
    <t>同じ時間帯・API・成功条件・標本数を確認。違いが残る場合は同じrequestの個別ログで説明する。</t>
  </si>
  <si>
    <t>S01 S10 S59</t>
  </si>
  <si>
    <t>準備から報告までの具体的な手順</t>
  </si>
  <si>
    <t>時間・負荷量・閾値は業務要件から決める。以下の分数は手順を理解するための例であり、必須時間ではない。実行結果を書けるチェックリストをExcelの別シートに用意する。</t>
  </si>
  <si>
    <t>段階</t>
  </si>
  <si>
    <t>やること</t>
  </si>
  <si>
    <t>残す証拠</t>
  </si>
  <si>
    <t>判断するポイント</t>
  </si>
  <si>
    <t>1. 要件</t>
  </si>
  <si>
    <t>API別の成功RPS・p95/p99・許容error率・継続時間・非同期完了期限を決める。</t>
  </si>
  <si>
    <t>合否表、API定義、負荷モデル、データ規模。</t>
  </si>
  <si>
    <t>CPUの値だけでは合否を決めない。ピーク時と定常時を分ける。</t>
  </si>
  <si>
    <t>2. 構成</t>
  </si>
  <si>
    <t>ALB/API Gateway/CDN/WAF、ECS、DB等の実際の経路を図にする。</t>
  </si>
  <si>
    <t>region/AZ、task definition、image digest、EAP/JDK/agent版。</t>
  </si>
  <si>
    <t>未使用サービスへ監視作業を広げない。</t>
  </si>
  <si>
    <t>S02 S45</t>
  </si>
  <si>
    <t>3. 資源</t>
  </si>
  <si>
    <t>task CPU/RAM、EAP container制限、Xms/Xmx、GC、worker、各pool上限を記録。</t>
  </si>
  <si>
    <t>設定とJMX/jcmdで確認した実効値。</t>
  </si>
  <si>
    <t>同じtaskサイズでもJVMやpool設定が違えば別条件。</t>
  </si>
  <si>
    <t>S48 S49 S56</t>
  </si>
  <si>
    <t>4. 監視有効化</t>
  </si>
  <si>
    <t>Container Insights、Application Signals、ログ、DB監視、必要なcustom指標を事前に用意。</t>
  </si>
  <si>
    <t>名前空間/次元とテスト要求に対する値の変化。</t>
  </si>
  <si>
    <t>収集できていることを確認してから本試験へ。</t>
  </si>
  <si>
    <t>S01 S08 S19</t>
  </si>
  <si>
    <t>5. clock/ID</t>
  </si>
  <si>
    <t>時刻同期、UTC範囲、実行ID、要求ID、trace IDの連携を確認。</t>
  </si>
  <si>
    <t>JTLからアプリログとtraceへ辿れる1件。</t>
  </si>
  <si>
    <t>個別相関ができない場合も時系列相関と区別して記録。</t>
  </si>
  <si>
    <t>S36 S59</t>
  </si>
  <si>
    <t>6. 基準</t>
  </si>
  <si>
    <t>無負荷または低負荷を例として5～10分観測。</t>
  </si>
  <si>
    <t>idle CPU/heap、task数、DB接続、sidecarの使用量。</t>
  </si>
  <si>
    <t>既にあるノイズと負荷で増えた値を分ける。</t>
  </si>
  <si>
    <t>7. ウォームアップ</t>
  </si>
  <si>
    <t>代表APIを流し、JIT/cache/poolが安定した区間を判断。</t>
  </si>
  <si>
    <t>class数、heap、応答時間、cache hit、connection数。</t>
  </si>
  <si>
    <t>時間だけで機械的に終了せず、安定した根拠を見る。</t>
  </si>
  <si>
    <t>8. 段階負荷</t>
  </si>
  <si>
    <t>目標の25→50→75→100%等へ段階的に増やす。各段階に安定観測区間を設ける。</t>
  </si>
  <si>
    <t>段階ごとの開始RPS/成功RPS/p95/p99/error、全監視値。</t>
  </si>
  <si>
    <t>RPS増加に対し、どこで遅延やqueueが急増するか。</t>
  </si>
  <si>
    <t>9. 定常負荷</t>
  </si>
  <si>
    <t>目標負荷を例として30～60分継続。</t>
  </si>
  <si>
    <t>SLO達成率、GC後heap、DB待ち、queue、task安定性。</t>
  </si>
  <si>
    <t>短いピークだけでなく、継続して目標を守れるか。</t>
  </si>
  <si>
    <t>10. 長時間</t>
  </si>
  <si>
    <t>業務周期に応じて数時間以上のsoak試験を計画。</t>
  </si>
  <si>
    <t>heap底、thread数、cache、DB接続、file/disk、credit。</t>
  </si>
  <si>
    <t>漏れ・蓄積・バースト枯渇・周期batchの影響。</t>
  </si>
  <si>
    <t>S17 S48</t>
  </si>
  <si>
    <t>11. 急増</t>
  </si>
  <si>
    <t>急な到着率増加とスケール動作を測る。</t>
  </si>
  <si>
    <t>監視→alarm→起動→healthy→応答回復の時刻。</t>
  </si>
  <si>
    <t>20秒指標を使ってもEAPの起動完了を短縮する保証はない。</t>
  </si>
  <si>
    <t>12. 限界</t>
  </si>
  <si>
    <t>要件に含まれる場合だけ、停止基準のあるstress試験をする。</t>
  </si>
  <si>
    <t>初めに飽和した資源、timeout/拒否、回復時刻。</t>
  </si>
  <si>
    <t>限界を超えた挙動と、通常の合否を混同しない。</t>
  </si>
  <si>
    <t>13. 回復</t>
  </si>
  <si>
    <t>負荷を下げた後も観測を続ける。</t>
  </si>
  <si>
    <t>RPS/遅延、heap、queue、connectionが戻る曲線。</t>
  </si>
  <si>
    <t>要求の残留、GC後の底、scale-in後の安定性。</t>
  </si>
  <si>
    <t>14. 1件を深掘り</t>
  </si>
  <si>
    <t>同じAPIの正常・遅延・失敗例をそれぞれ選ぶ。</t>
  </si>
  <si>
    <t>request/trace ID、該当task指標、GC/DB待ち。</t>
  </si>
  <si>
    <t>相関だけの説明を、個別の証拠で補強する。</t>
  </si>
  <si>
    <t>S20 S36</t>
  </si>
  <si>
    <t>15. 改善比較</t>
  </si>
  <si>
    <t>ボトルネックに対応する設定/実装を1条件ずつ変える。</t>
  </si>
  <si>
    <t>変更前後で同じデータ・負荷・監視条件の結果。</t>
  </si>
  <si>
    <t>CPU、Xmx、poolを同時変更して原因を見失わない。</t>
  </si>
  <si>
    <t>16. 報告</t>
  </si>
  <si>
    <t>合否、capacity、原因の確度、改善、未検証条件をまとめる。</t>
  </si>
  <si>
    <t>元JTL、統計、dashboard設定、ログquery、構成、図。</t>
  </si>
  <si>
    <t>推測/確認済みを明記。スクリーンショットだけに依存しない。</t>
  </si>
  <si>
    <t>症状から次に見る証拠を選ぶ</t>
  </si>
  <si>
    <t>下記は診断仮説であり、症状だけで原因を断定する表ではない。原則は利用者→入口→task→JVM/EAP→依存先の順で絞り、共通時刻と個別要求で裏付ける。</t>
  </si>
  <si>
    <t>見えた症状</t>
  </si>
  <si>
    <t>考えられる原因</t>
  </si>
  <si>
    <t>次に照合する証拠</t>
  </si>
  <si>
    <t>確定前に注意すること</t>
  </si>
  <si>
    <t>JMeterだけ遅い</t>
  </si>
  <si>
    <t>生成器飽和、network、DNS/TLS、本文転送。</t>
  </si>
  <si>
    <t>JMeter CPU/GC、Connect/Latency/Elapsed、ALBログ、payload。</t>
  </si>
  <si>
    <t>計測区間と母集団が違う。p95の引き算で場所を確定しない。</t>
  </si>
  <si>
    <t>S10 S59 S60</t>
  </si>
  <si>
    <t>ALBもAPIも遅くCPU高</t>
  </si>
  <si>
    <t>アプリCPU飽和、GC過多、重い変換処理。</t>
  </si>
  <si>
    <t>task別CPU、GCログ、JFR、traceのself側の時間。</t>
  </si>
  <si>
    <t>CPUの平均で1taskの偏りを見落とさない。</t>
  </si>
  <si>
    <t>S01 S05 S56</t>
  </si>
  <si>
    <t>CPU低いが遅い</t>
  </si>
  <si>
    <t>DB/外部待ち、pool待ち、lock、worker queue。</t>
  </si>
  <si>
    <t>JDBC/client span、EAP pool、thread dump、DB wait。</t>
  </si>
  <si>
    <t>CPUを増やすだけでは待ち先が改善しない可能性。</t>
  </si>
  <si>
    <t>S20 S40 S50</t>
  </si>
  <si>
    <t>heapが増えGCで下がる</t>
  </si>
  <si>
    <t>通常の割当と回収、または高頻度割当。</t>
  </si>
  <si>
    <t>GC後の底、pause、成功RPS、p99。</t>
  </si>
  <si>
    <t>鋸歯状だけを漏れと診断しない。</t>
  </si>
  <si>
    <t>GC後heapが上がり続ける</t>
  </si>
  <si>
    <t>cache/滞留の増大、object参照の保持、漏れ。</t>
  </si>
  <si>
    <t>同一taskの長時間傾向、無負荷回復、JFR、heap dump。</t>
  </si>
  <si>
    <t>warm-upと恒久増加を分ける。heap dumpで参照元を確認。</t>
  </si>
  <si>
    <t>heap安定、containerだけ増加</t>
  </si>
  <si>
    <t>native、direct buffer、thread stack、page cache等。</t>
  </si>
  <si>
    <t>NonHeapUsed、BufferPool、NMT、thread数、ログI/O。</t>
  </si>
  <si>
    <t>container値からheapを引いただけではnative実使用と断定できない。</t>
  </si>
  <si>
    <t>S05 S54 S57</t>
  </si>
  <si>
    <t>GC例外なくtaskが終了</t>
  </si>
  <si>
    <t>OOM kill、health failure、デプロイ/scale、外部停止。</t>
  </si>
  <si>
    <t>ECS stopped reason、exit code、直前メモリ、deploymentイベント。</t>
  </si>
  <si>
    <t>exit137単独やRestartCountだけではOOM確定できない。</t>
  </si>
  <si>
    <t>JDBC長くDB CPU低い</t>
  </si>
  <si>
    <t>lock/I/O/network、Proxy待ち、client側待機。</t>
  </si>
  <si>
    <t>Database Insightsのwait/SQL、RDS I/O、Proxy借用遅延。</t>
  </si>
  <si>
    <t>JDBC spanの境界を確認。DB CPU低いからDB正常とは言えない。</t>
  </si>
  <si>
    <t>S17 S20 S23</t>
  </si>
  <si>
    <t>pool上限、DB処理は短い</t>
  </si>
  <si>
    <t>接続返却漏れ、長いtransaction、アプリ側pool不足。</t>
  </si>
  <si>
    <t>InUseCount、待ち、TimedOut、transaction/threadのstack。</t>
  </si>
  <si>
    <t>pool拡大はDBの同時負荷も増やす。DB接続予算を計算する。</t>
  </si>
  <si>
    <t>負荷を上げてもRPS頭打ち</t>
  </si>
  <si>
    <t>生成器不足、closed model、入口制限、server飽和。</t>
  </si>
  <si>
    <t>開始/完了RPS、active threads、WAF/429、CPU、queue。</t>
  </si>
  <si>
    <t>平均応答が短いままエラーだけ増えていないか。</t>
  </si>
  <si>
    <t>S14 S26 S60</t>
  </si>
  <si>
    <t>scale-out後も遅い</t>
  </si>
  <si>
    <t>EAP初期化、cache/JIT、DB全体の上限、偏り。</t>
  </si>
  <si>
    <t>Running/Healthy差、startupログ、DB接続/Load、task別負荷。</t>
  </si>
  <si>
    <t>タスク数が増えた時刻と有効capacity増加の時刻を分ける。</t>
  </si>
  <si>
    <t>S05 S10 S49</t>
  </si>
  <si>
    <t>監視の値が出ない</t>
  </si>
  <si>
    <t>設定漏れ、agent失敗、IAM/network、次元違い。</t>
  </si>
  <si>
    <t>Collectorログ、export失敗、namespace/region、GC実行有無。</t>
  </si>
  <si>
    <t>空欄をゼロとして性能良好と報告しない。</t>
  </si>
  <si>
    <t>S01 S03 S33</t>
  </si>
  <si>
    <t>API速いが業務完了が遅い</t>
  </si>
  <si>
    <t>非同期consumer不足、再試行、DLQ、後段DB。</t>
  </si>
  <si>
    <t>SQS age/visible、完了イベント、consumer trace、DB待ち。</t>
  </si>
  <si>
    <t>202受付のp95で業務全体のp95を代用しない。</t>
  </si>
  <si>
    <t>S28 S36</t>
  </si>
  <si>
    <t>監視導入後に性能悪化</t>
  </si>
  <si>
    <t>agent重複、過剰span、scrape頻度、log同期書込み。</t>
  </si>
  <si>
    <t>sidecar CPU/RAM、export量、log量、計装前後比較。</t>
  </si>
  <si>
    <t>本番で同じ監視を使うなら監視込みの能力で評価。機能を闇雲に止めない。</t>
  </si>
  <si>
    <t>S03 S05 S63</t>
  </si>
  <si>
    <t>試験中に並べるグラフと見る順番</t>
  </si>
  <si>
    <t>同じ実行ID・UTC範囲・負荷段階で比較する。複数taskがある時はサービス全体の段とtask別の段を設ける。名前空間や単位の異なる線を無説明で同じ軸に重ねない。</t>
  </si>
  <si>
    <t>配置</t>
  </si>
  <si>
    <t>表示する指標</t>
  </si>
  <si>
    <t>集計・見せ方</t>
  </si>
  <si>
    <t>この組合せで答える問い</t>
  </si>
  <si>
    <t>1段目：利用者</t>
  </si>
  <si>
    <t>JMeter 成功RPS、全RPS、error率、p50/p95/p99、標本数。</t>
  </si>
  <si>
    <t>API別、定常/増加/回復別。JTLからの集計値はcustom指標等の追加送信が必要。</t>
  </si>
  <si>
    <t>要求の量と品質を両立できたか。</t>
  </si>
  <si>
    <t>2段目：入口</t>
  </si>
  <si>
    <t>ALB RequestCount、TargetResponseTime、ELB/Target別5XX、healthy数。</t>
  </si>
  <si>
    <t>同じTargetGroup。p95/p99、件数Sum、healthyのMinimum。</t>
  </si>
  <si>
    <t>入口まで届いたか、受付かアプリか、どこで異常が起きたか。</t>
  </si>
  <si>
    <t>3段目：APM</t>
  </si>
  <si>
    <t>ApplicationSignals / Latency、Fault、Error。</t>
  </si>
  <si>
    <t>Service/Environment/OperationでAPI別に見る。Latencyはms、Fault/Errorは件数集計。</t>
  </si>
  <si>
    <t>どのAPI・依存先が遅いか。</t>
  </si>
  <si>
    <t>3段目：APMの率</t>
  </si>
  <si>
    <t>呼出量=SampleCount(Latency)、availability=(1−Fault/総数)×100。</t>
  </si>
  <si>
    <t>分母ゼロと欠測を処理。4XXのErrorを別表示。JMeterの業務成功率も並べる。</t>
  </si>
  <si>
    <t>可用性が良くても、認証失敗や業務エラーが増えていないか。</t>
  </si>
  <si>
    <t>4段目：容量</t>
  </si>
  <si>
    <t>ECS CPU/Memory、Desired/Running/Pending、ALB healthy。</t>
  </si>
  <si>
    <t>task数と利用率は軸を分ける。スケールとデプロイ時刻に注記。</t>
  </si>
  <si>
    <t>増員が間に合い、利用可能な処理能力になったか。</t>
  </si>
  <si>
    <t>S05 S07</t>
  </si>
  <si>
    <t>5段目：偏り</t>
  </si>
  <si>
    <t>Container InsightsのTaskId/ContainerName別CPU・メモリ。</t>
  </si>
  <si>
    <t>上位のtask、全task分布、EAPとsidecarを分ける。</t>
  </si>
  <si>
    <t>平均に隠れている1台の異常がないか。</t>
  </si>
  <si>
    <t>6段目：heap</t>
  </si>
  <si>
    <t>HeapUsed、GC後使用量、補完したHeapMax/Committed。</t>
  </si>
  <si>
    <t>Bytes→MiBを明示変換。個別JVMとサービス集計を別panelにする。</t>
  </si>
  <si>
    <t>heapの量・回収・余裕がどう変わったか。</t>
  </si>
  <si>
    <t>7段目：GCとthread</t>
  </si>
  <si>
    <t>GC duration/count、GC pauseログ、thread、non-heap。</t>
  </si>
  <si>
    <t>GC時刻にp99を重ねて照合。pauseはms、countは期間当たり。</t>
  </si>
  <si>
    <t>少数の遅いAPIがGCやthread待ちに関係するか。</t>
  </si>
  <si>
    <t>8段目：EAP内部</t>
  </si>
  <si>
    <t>worker busy/queue、InUseCount、pool待ち・timeout。</t>
  </si>
  <si>
    <t>custom指標のtask・worker・datasource次元を固定。</t>
  </si>
  <si>
    <t>CPU以外の『貸出枠』で仕事が止まっていないか。</t>
  </si>
  <si>
    <t>9段目：DB</t>
  </si>
  <si>
    <t>DB Load内訳、Top SQL、CPU、接続、I/O、Proxy待ち。</t>
  </si>
  <si>
    <t>Database Insightsへリンクし、writer/readerを区別。</t>
  </si>
  <si>
    <t>下流の待ちがアプリへ跳ね返っていないか。</t>
  </si>
  <si>
    <t>10段目：補助経路</t>
  </si>
  <si>
    <t>cache hit/miss、SQS age、WAF、NAT、S3/EFS等。</t>
  </si>
  <si>
    <t>実際に使う資源を選択。未使用サービスの空panelを増やさない。</t>
  </si>
  <si>
    <t>主経路の外側に原因がないか。</t>
  </si>
  <si>
    <t>S24 S26 S27 S28</t>
  </si>
  <si>
    <t>11段目：証拠</t>
  </si>
  <si>
    <t>slow/error trace、EAP/GCログquery、stopped taskイベント。</t>
  </si>
  <si>
    <t>時刻から詳細へ移れるlinkを保存。traceがない時のlog検索経路も用意。</t>
  </si>
  <si>
    <t>グラフの山を、具体的な原因と結び付けられるか。</t>
  </si>
  <si>
    <t>S09 S34 S36</t>
  </si>
  <si>
    <t>最下段：監視自身</t>
  </si>
  <si>
    <t>Collector CPU/RAM、送信失敗、drop、ログ件数、生成器資源。</t>
  </si>
  <si>
    <t>採用agentが出す内部ログ/指標で確認。一般に固定の共通AWSメトリクス名はない。</t>
  </si>
  <si>
    <t>観察の仕組みが壊れて、良く見えていないか。</t>
  </si>
  <si>
    <t>S03 S05 S60</t>
  </si>
  <si>
    <t>正しく測り続けるための設定</t>
  </si>
  <si>
    <t>性能値の信頼性に直接関係する項目をまとめる。具体的な料金単価・利用可能regionは変更されるため、導入時に公式表を参照する。</t>
  </si>
  <si>
    <t>費用の分類</t>
  </si>
  <si>
    <t>時計、日記の量、保存棚、掲示板に別々の費用がかかる。</t>
  </si>
  <si>
    <t>追加metrics、高解像度、Container Insights、Application Signals、span、ログ取込/保存/query、AMP、Grafana等を見積もる。</t>
  </si>
  <si>
    <t>対象region、継続時間、task数、API数、span/request、sampling率、保持期間を入力条件として残す。</t>
  </si>
  <si>
    <t>S64</t>
  </si>
  <si>
    <t>cardinality</t>
  </si>
  <si>
    <t>注文番号ごとに新しいノートを作ると、棚がすぐ埋まる。</t>
  </si>
  <si>
    <t>metricの次元の組合せごとに時系列が増える。URLへ実IDを入れる場合やTaskIdが大量に入れ替わる場合は増加が大きい。</t>
  </si>
  <si>
    <t>request_idはlog/traceへ。metricはGET /orders/{id}等の安定operation名。task別指標は診断目的と期間を決めて採用。</t>
  </si>
  <si>
    <t>S33 S63</t>
  </si>
  <si>
    <t>保持期間と解像度</t>
  </si>
  <si>
    <t>古い記録は細かい1秒の値ではなく、まとめた表で残ることがある。</t>
  </si>
  <si>
    <t>CloudWatch標準の保持では、1分未満の高解像度は3時間、1分は15日、5分は63日、1時間は455日という段階がある。</t>
  </si>
  <si>
    <t>試験直後に必要な粒度で取得・保管する。logとtraceの保持は別設定。DB監視の保持も別表で管理する。</t>
  </si>
  <si>
    <t>S33 S19</t>
  </si>
  <si>
    <t>観測のオーバーヘッド</t>
  </si>
  <si>
    <t>見張る人が通路をふさぐと、作業の速さ自体が変わる。</t>
  </si>
  <si>
    <t>自動計装・JMX scrape・GCログ・JFR・dump・詳細traceには処理負荷がある。影響はアプリと設定に依存。</t>
  </si>
  <si>
    <t>監視なし/標準監視/詳細診断を比較して影響を記録。本番相当監視を付けた結果を最終capacityとする。</t>
  </si>
  <si>
    <t>S56 S57 S60</t>
  </si>
  <si>
    <t>送信とバッファ</t>
  </si>
  <si>
    <t>配達先が混むと、記録係の手元に紙がたまる。</t>
  </si>
  <si>
    <t>Collector/ログdriverのbuffer、再試行、batch、queueに上限がある。ドロップかアプリのブロックかは設定に依存。</t>
  </si>
  <si>
    <t>監視経路の遅延・欠落時の挙動を確認。計測終了後もflushと遅延到着を待って集計する。</t>
  </si>
  <si>
    <t>S03 S62</t>
  </si>
  <si>
    <t>機密情報</t>
  </si>
  <si>
    <t>注文票に名前や支払情報を何でも書かない。</t>
  </si>
  <si>
    <t>URL/query、SQL、例外、heap dump、JFR、HTTP headerには機密が入り得る。高cardinality対策と機密対策は両方必要。</t>
  </si>
  <si>
    <t>SQL bind値・token・bodyを原則収集対象から外し、診断ファイルのアクセス/暗号化/保存期限を定める。</t>
  </si>
  <si>
    <t>S36 S56</t>
  </si>
  <si>
    <t>計測portと管理port</t>
  </si>
  <si>
    <t>記録の窓口と、教室の設備を変える鍵は別。</t>
  </si>
  <si>
    <t>管理API/JMXと公開APIを分離。localhostで足りる収集をpublicへ開かない。外部接続が必要なら適切に認証・TLS・SGを使う。</t>
  </si>
  <si>
    <t>Fargate taskの境界を理解し、同じtask内の他containerも信頼境界に含める。</t>
  </si>
  <si>
    <t>S41 S42 S44</t>
  </si>
  <si>
    <t>再現できる版管理</t>
  </si>
  <si>
    <t>同じ条件で測ったつもりでも、時計の版が変わると比較できない。</t>
  </si>
  <si>
    <t>latest tagだけでは再現できない。EAP/JDK/agent/Collector/exporter、GC、アプリ、task定義を記録。</t>
  </si>
  <si>
    <t>この資料の最低版を最新の推奨版として固定しない。採用版でサポート表とrelease noteを再確認。</t>
  </si>
  <si>
    <t>S01 S40 S45</t>
  </si>
  <si>
    <t>Application Signalsの名前違い</t>
  </si>
  <si>
    <t>似た名前の教科書でも、扱う科目が違う。</t>
  </si>
  <si>
    <t>Application SignalsとCloudWatch Application Insightsは別機能。本資料のJVM名はApplicationSignalsのランタイム指標。</t>
  </si>
  <si>
    <t>console検索で似た機能へ迷い込まない。名前空間とsourceを手掛かりにする。</t>
  </si>
  <si>
    <t>S01 S78</t>
  </si>
  <si>
    <t>2026年の変更を扱う</t>
  </si>
  <si>
    <t>古い地図の道順が、今の町では変わっていることがある。</t>
  </si>
  <si>
    <t>ECS20秒、ALB→CloudWatch Logs、Database Insightsの保持/移行、X-Ray SDK日程を現行公式資料で確認した。</t>
  </si>
  <si>
    <t>現行機能は現行ガイド、登場日は当時の公式発表を使い分ける。region・画面・料金の変化は導入時に確認。</t>
  </si>
  <si>
    <t>S07 S13 S19 S38</t>
  </si>
  <si>
    <t>よくある疑問に明確に答える</t>
  </si>
  <si>
    <t>迷ったときの確認表。ここでの『見える』は、必要な計装・送信・権限・保持期間を満たしている場合を意味する。</t>
  </si>
  <si>
    <t>質問</t>
  </si>
  <si>
    <t>答え</t>
  </si>
  <si>
    <t>理由・例</t>
  </si>
  <si>
    <t>次の行動</t>
  </si>
  <si>
    <t>FargateのMemoryUtilizationでheapがわかる？</t>
  </si>
  <si>
    <t>heapの使用量や使用率は直接わからない。</t>
  </si>
  <si>
    <t>containerにはheap以外も含まれる。taskにはsidecarもある。</t>
  </si>
  <si>
    <t>Application SignalsのHeapUsedとJMXのmaxを別に取得する。</t>
  </si>
  <si>
    <t>S01 S05 S53</t>
  </si>
  <si>
    <t>Container InsightsをONにすればGCも出る？</t>
  </si>
  <si>
    <t>標準インフラ収集だけでは出ない。</t>
  </si>
  <si>
    <t>同じCloudWatchで見ても、JVM指標を作るのはアプリ内の計装/JMX収集。</t>
  </si>
  <si>
    <t>AのApplication SignalsかB/Cの補完経路を設定する。</t>
  </si>
  <si>
    <t>S01 S05 S42</t>
  </si>
  <si>
    <t>JVM heapを見るAWSサービスは結局どれ？</t>
  </si>
  <si>
    <t>第一候補はCloudWatch Application Signals。</t>
  </si>
  <si>
    <t>正式名はJVMMemoryHeapUsed。詳細が必要ならCloudWatch custom metricsやAMPへJMX値を送る。</t>
  </si>
  <si>
    <t>08_JVM指標と11_収集設定を参照。</t>
  </si>
  <si>
    <t>S01 S42 S43</t>
  </si>
  <si>
    <t>X-Rayでheap dumpを見られる？</t>
  </si>
  <si>
    <t>X-Rayは要求の道のりを調べる。heap dump解析の代わりにはならない。</t>
  </si>
  <si>
    <t>objectの参照関係はdump等で分析し、遅いspanとの関連を調べる。</t>
  </si>
  <si>
    <t>GCログ/JFR/heap dumpを目的に応じて採取。</t>
  </si>
  <si>
    <t>RDS Enhanced MonitoringでEAPのJVMが見える？</t>
  </si>
  <si>
    <t>見えない。対象はDB側のOS。</t>
  </si>
  <si>
    <t>DB serverとEAP taskは別の実行場所。</t>
  </si>
  <si>
    <t>EAPはApplication Signals/JMX、DBはDatabase Insights/Enhanced Monitoring。</t>
  </si>
  <si>
    <t>S01 S19 S21</t>
  </si>
  <si>
    <t>EAP8.1とJDK21なら自動計装は保証される？</t>
  </si>
  <si>
    <t>実際の組合せで確認が必要。</t>
  </si>
  <si>
    <t>Red Hat対応、OTel対応ライブラリ、agent版、classloaderや業務実装の条件は別。</t>
  </si>
  <si>
    <t>採用image/digestとagent版を固定して少量負荷で確認。</t>
  </si>
  <si>
    <t>S04 S40 S45</t>
  </si>
  <si>
    <t>heapが80%なら失敗？</t>
  </si>
  <si>
    <t>一律には決まらない。</t>
  </si>
  <si>
    <t>GCで十分戻るか、pause・p99・OOM・回復性がどうかで評価する。</t>
  </si>
  <si>
    <t>業務SLO、GC後の底、native余裕を組み合わせる。</t>
  </si>
  <si>
    <t>CPUが低ければ余裕がある？</t>
  </si>
  <si>
    <t>待ちがある場合は遅くなる。</t>
  </si>
  <si>
    <t>DB lock、pool、外部API、worker queueなど。</t>
  </si>
  <si>
    <t>thread・pool・trace・DB waitsを見る。</t>
  </si>
  <si>
    <t>S20 S50</t>
  </si>
  <si>
    <t>heap maxとcontainer上限を同じにしてよい？</t>
  </si>
  <si>
    <t>通常はheap外の余白が必要。</t>
  </si>
  <si>
    <t>Metaspace、code、thread、buffer、監視agentにもメモリを使う。</t>
  </si>
  <si>
    <t>実測と長時間試験で予算を決める。4GiBの例は保証値ではない。</t>
  </si>
  <si>
    <t>S53 S54 S57</t>
  </si>
  <si>
    <t>1分グラフでGCとp99が重ならないのは正常？</t>
  </si>
  <si>
    <t>解像度とsamplingを確かめるまで結論を出さない。</t>
  </si>
  <si>
    <t>短いpauseは1分平均へ埋もれ、traceから抜けることもある。</t>
  </si>
  <si>
    <t>GCログの時刻と同一requestのdurationで照合。</t>
  </si>
  <si>
    <t>S33 S36 S48</t>
  </si>
  <si>
    <t>Application Signalsのavailabilityが良ければ合格？</t>
  </si>
  <si>
    <t>業務成功率も別に必要。</t>
  </si>
  <si>
    <t>4XXやHTTP200の業務errorはJMeterの失敗定義と違う。</t>
  </si>
  <si>
    <t>assertion、4XX、Fault、成功RPSを併記する。</t>
  </si>
  <si>
    <t>ALBログは必ずS3でしか見られない？</t>
  </si>
  <si>
    <t>2026年の現行機能ではCloudWatch Logsへの配信も選べる。</t>
  </si>
  <si>
    <t>2026-07-23の統合によりaccess/connection/health checkログを扱える。</t>
  </si>
  <si>
    <t>ALB Integrationsと配信先/権限を設定する。従来S3方式も利用可能。</t>
  </si>
  <si>
    <t>S13 S82</t>
  </si>
  <si>
    <t>X-Ray自体が終了する？</t>
  </si>
  <si>
    <t>SDK/daemonのメンテナンス化とサービスの終了は別。</t>
  </si>
  <si>
    <t>現行公式日程は2026-02-25からmaintenance、終了欄N/A。</t>
  </si>
  <si>
    <t>新規計装はOpenTelemetry/ADOTを検討し、最新日程を確認。</t>
  </si>
  <si>
    <t>Performance Insightsの旧資料を使える？</t>
  </si>
  <si>
    <t>概念は参考になるが画面・移行日・保持期間を現行に合わせる。</t>
  </si>
  <si>
    <t>現行Database Insights文書は2026-07-31移行を案内し、保持期間も旧表から変わっている。</t>
  </si>
  <si>
    <t>S19のモード表を参照。PI APIがすべてなくなるとは解釈しない。</t>
  </si>
  <si>
    <t>監視を入れてから負荷が変わったら？</t>
  </si>
  <si>
    <t>監視込みの性能と、追加診断の負荷を分けて記録する。</t>
  </si>
  <si>
    <t>計測は無料の処理ではない。本番で使う監視を含めた能力が運用上の容量。</t>
  </si>
  <si>
    <t>同条件で計装前後とsampling設定を比較する。</t>
  </si>
  <si>
    <t>S03 S57 S60</t>
  </si>
  <si>
    <t>JMeter × AWS 全体パフォーマンステスト 監視・分析ガイド</t>
  </si>
  <si>
    <t>JMeterで結果を測り、AWSで理由を探す。とくに『container全体のメモリ』と『JVMのheap』の違いを、図と手順から理解する。</t>
  </si>
  <si>
    <t>読み始める場所</t>
  </si>
  <si>
    <t>結論・対象・使い方</t>
  </si>
  <si>
    <t>今回の前提</t>
  </si>
  <si>
    <t>ユーザー指定：JBoss EAP 8.1、Red Hat build of OpenJDK 21、ECS Fargate。Linuxコンテナを説明例にする。ALB・DB・キャッシュ等の採用状況は未指定なので、利用時のみ読む項目とする。</t>
  </si>
  <si>
    <t>S45 S46</t>
  </si>
  <si>
    <t>最初の答え</t>
  </si>
  <si>
    <t>コンテナ全体はCloudWatchのAWS/ECSとECS/ContainerInsights。JVMヒープ・GC・スレッドは、計装を追加したApplication Signals（ApplicationSignals名前空間）が第一候補。Xmx・committed・EAPの接続プールなど不足する指標はJMX等で補う。</t>
  </si>
  <si>
    <t>S01 S05 S06 S53</t>
  </si>
  <si>
    <t>大切な区別</t>
  </si>
  <si>
    <t>FargateのMemoryUtilizationはJVMヒープ使用率ではない。部屋全体の荷物の量と、その部屋に置かれた机の上の量は違う。JVM外・ヒープ外・監視用コンテナにもメモリが必要。</t>
  </si>
  <si>
    <t>何を組み合わせるか</t>
  </si>
  <si>
    <t>JMeterで利用者の待ち時間、AWS標準指標で入口と土台、Application SignalsでAPIとJVM、X-Ray/Transaction Searchで1件の道のり、Logs Insightsで理由、Database InsightsでDBの待ちを調べる。</t>
  </si>
  <si>
    <t>S01 S19 S34 S36 S59</t>
  </si>
  <si>
    <t>資料の性質</t>
  </si>
  <si>
    <t>2026-10-02に公式Web資料を確認した設計・学習資料。AWSアカウントへの接続、環境変更、実負荷試験は行っていない。図・数値例・閾値案は学習用であり、実測値やAWSの保証値ではない。</t>
  </si>
  <si>
    <t>互換性の境界</t>
  </si>
  <si>
    <t>EAPとJDKの対応、Fargateでのコンテナ実行、ADOTのライブラリ計装、Red Hatのサポート契約は別々に確認する。WildFlyの対応表だけでEAP 8.1の個別イメージや業務アプリの完全動作を保証しない。</t>
  </si>
  <si>
    <t>S04 S40 S45 S46</t>
  </si>
  <si>
    <t>読む順番</t>
  </si>
  <si>
    <t>初めての方：図解→基礎→メモリ深掘り。担当者：サービス比較→指標一覧→収集設定→設定例→テスト手順。問題が起きたら障害切分とFAQへ。各行の根拠IDから公式資料へ進める。</t>
  </si>
  <si>
    <t>クリックして移動する目次</t>
  </si>
  <si>
    <t>01_図解</t>
  </si>
  <si>
    <t>動作を図で理解する</t>
  </si>
  <si>
    <t>クリック</t>
  </si>
  <si>
    <t>02_基礎</t>
  </si>
  <si>
    <t>03_歴史</t>
  </si>
  <si>
    <t>04_サービス</t>
  </si>
  <si>
    <t>05_入口指標</t>
  </si>
  <si>
    <t>06_ECS指標</t>
  </si>
  <si>
    <t>07_DB依存指標</t>
  </si>
  <si>
    <t>08_JVM指標</t>
  </si>
  <si>
    <t>09_メモリ深掘り</t>
  </si>
  <si>
    <t>10_EAP内部</t>
  </si>
  <si>
    <t>11_収集設定</t>
  </si>
  <si>
    <t>12_設定例</t>
  </si>
  <si>
    <t>設定・診断・検索の例</t>
  </si>
  <si>
    <t>13_トレース</t>
  </si>
  <si>
    <t>14_JMeter</t>
  </si>
  <si>
    <t>15_テスト手順</t>
  </si>
  <si>
    <t>16_障害切分</t>
  </si>
  <si>
    <t>17_ダッシュボード</t>
  </si>
  <si>
    <t>18_例と計算</t>
  </si>
  <si>
    <t>架空のグラフと計算</t>
  </si>
  <si>
    <t>19_注意と費用</t>
  </si>
  <si>
    <t>20_FAQ</t>
  </si>
  <si>
    <t>21_実行チェック</t>
  </si>
  <si>
    <t>実行チェックリスト</t>
  </si>
  <si>
    <t>22_出典</t>
  </si>
  <si>
    <t>公式資料一覧</t>
  </si>
  <si>
    <t>API・JVM・監視の動作イメージ</t>
  </si>
  <si>
    <t>3枚の図を上から読む。実環境の構成や実測結果ではなく、理解のための概念図。用語の正確な意味は各章で説明する。</t>
  </si>
  <si>
    <t>実線のHTTP経路と監視データの転送は別。図のALB・DBは代表例であり、採用済みという意味ではない。</t>
  </si>
  <si>
    <t>S02 S03 S05 S19 S36</t>
  </si>
  <si>
    <t>task、container、JVM、heapは異なる境界。committed、RSS、予約量、cacheの扱いが違うので、単純な引き算だけでnative memoryを確定しない。</t>
  </si>
  <si>
    <t>S05 S53 S54 S57</t>
  </si>
  <si>
    <t>架空例：client接続等30ms＋入口/配送20ms＋EAP540ms＋本文受信10ms＝Elapsed600ms。EAP540msの内訳は自処理80ms＋pool待ち100ms＋JDBC360ms。実際には区間の重なりや並行処理を考慮する。</t>
  </si>
  <si>
    <t>S10 S11 S36 S59</t>
  </si>
  <si>
    <t>以下は説明用の断片であり、デプロイ用の完成定義ではない。読み取り・設定変更・診断採取を区別する。実際のAWS環境では未実行。</t>
  </si>
  <si>
    <t>A. CloudWatch agentのApplication Signals受信設定</t>
  </si>
  <si>
    <t>公式方式を基にした最小の設定断片。Fargateのtask定義全体ではない。image・role・log group・CPU/RAM・起動依存を別途設定する。JSON中のlogs.metrics_collectedは誤記ではなく、この方式の設定構造。</t>
  </si>
  <si>
    <t>{</t>
  </si>
  <si>
    <t xml:space="preserve">  "traces": {"traces_collected": {"application_signals": {}}},</t>
  </si>
  <si>
    <t xml:space="preserve">  "logs": {"metrics_collected": {"application_signals": {}}}</t>
  </si>
  <si>
    <t>}</t>
  </si>
  <si>
    <t>B. EAPアプリコンテナの環境変数断片</t>
  </si>
  <si>
    <t>例示のservice/environment名を実環境へ変更する。既存のJAVA_TOOL_OPTIONSへ追記し、agent用jarを事前配置する。OTEL_METRICS_EXPORTER=noneでも、このAWS専用Application Signals経路は有効。一般OTelの設定へ無条件で流用しない。</t>
  </si>
  <si>
    <t xml:space="preserve">  "JAVA_TOOL_OPTIONS": "-javaagent:/otel-auto-instrumentation/javaagent.jar",</t>
  </si>
  <si>
    <t xml:space="preserve">  "OTEL_RESOURCE_ATTRIBUTES": "service.name=eap-api,deployment.environment=perf-test",</t>
  </si>
  <si>
    <t xml:space="preserve">  "OTEL_AWS_APPLICATION_SIGNALS_ENABLED": "true",</t>
  </si>
  <si>
    <t xml:space="preserve">  "OTEL_AWS_APPLICATION_SIGNALS_RUNTIME_ENABLED": "true",</t>
  </si>
  <si>
    <t xml:space="preserve">  "OTEL_AWS_APPLICATION_SIGNALS_EXPORTER_ENDPOINT": "http://localhost:4316/v1/metrics",</t>
  </si>
  <si>
    <t xml:space="preserve">  "OTEL_EXPORTER_OTLP_TRACES_ENDPOINT": "http://localhost:4316/v1/traces",</t>
  </si>
  <si>
    <t xml:space="preserve">  "OTEL_EXPORTER_OTLP_PROTOCOL": "http/protobuf",</t>
  </si>
  <si>
    <t xml:space="preserve">  "OTEL_TRACES_SAMPLER": "xray",</t>
  </si>
  <si>
    <t xml:space="preserve">  "OTEL_PROPAGATORS": "tracecontext,baggage,b3,xray",</t>
  </si>
  <si>
    <t xml:space="preserve">  "OTEL_METRICS_EXPORTER": "none",</t>
  </si>
  <si>
    <t xml:space="preserve">  "OTEL_LOGS_EXPORTER": "none"</t>
  </si>
  <si>
    <t>C. EAP管理CLIで現在値を読む</t>
  </si>
  <si>
    <t>EAPへ認証済みの管理CLIに入力するコマンド例。Windows PowerShellのコマンドではない。standaloneを想定し、AppDSとworker名は置換。domainの場合はhost/serverのaddressを付ける。実装差はread-resource-descriptionで確認する。</t>
  </si>
  <si>
    <t>/core-service=platform-mbean/type=memory:read-attribute(name=heap-memory-usage)</t>
  </si>
  <si>
    <t>/core-service=platform-mbean/type=memory:read-attribute(name=non-heap-memory-usage)</t>
  </si>
  <si>
    <t>/core-service=platform-mbean/type=threading:read-resource(include-runtime=true)</t>
  </si>
  <si>
    <t>/subsystem=datasources/data-source=AppDS/statistics=pool:read-resource(include-runtime=true)</t>
  </si>
  <si>
    <t>/subsystem=io/worker=default:read-resource(include-runtime=true,recursive=true)</t>
  </si>
  <si>
    <t>S47 S50 S51</t>
  </si>
  <si>
    <t>D. datasource統計の有効化（設定変更）</t>
  </si>
  <si>
    <t>読み取り操作ではない。テスト前の設定変更手順へ組み込む例。reload/再デプロイの要否とタイミングを事前調整する。この資料作成では実行していない。</t>
  </si>
  <si>
    <t>/subsystem=datasources/data-source=AppDS:write-attribute(name=statistics-enabled,value=true)</t>
  </si>
  <si>
    <t>/subsystem=datasources/data-source=AppDS:read-attribute(name=statistics-enabled)</t>
  </si>
  <si>
    <t>E. Java21のGCログを標準出力へ</t>
  </si>
  <si>
    <t>EAPサーバーJVMの起動optionへ追加する例。stdoutはawslogs等で転送。既存のGCログ設定と競合しないよう統合し、出力量を確認。wall clockとuptimeを両方残す。</t>
  </si>
  <si>
    <t>-Xlog:gc*,safepoint:stdout:time,uptime,level,tags</t>
  </si>
  <si>
    <t>S48 S62</t>
  </si>
  <si>
    <t>F. コンテナ内でJVM状態を読む</t>
  </si>
  <si>
    <t>Linuxの対象コンテナ内で、JDKのjcmdが存在し、対象Javaと同じ利用者等のattach条件を満たす場合。ECS Execは事前有効化と権限が必要。123は例示PIDであり、1に固定しない。</t>
  </si>
  <si>
    <t>jcmd -l</t>
  </si>
  <si>
    <t>jcmd 123 VM.version</t>
  </si>
  <si>
    <t>jcmd 123 VM.flags</t>
  </si>
  <si>
    <t>jcmd 123 GC.heap_info</t>
  </si>
  <si>
    <t>jcmd 123 Thread.print -l</t>
  </si>
  <si>
    <t>S56 S61</t>
  </si>
  <si>
    <t>G. 詳細診断（採取負荷・保存先を事前検証）</t>
  </si>
  <si>
    <t>Linuxコンテナ内の例。/diagnosticsは書込み可能で空き容量のある例示path。NMTは起動時に-XX:NativeMemoryTracking=summaryが必要。heap dumpは高負荷/停止を伴い得るので通常計測区間と分ける。</t>
  </si>
  <si>
    <t>jcmd 123 VM.native_memory summary scale=MB</t>
  </si>
  <si>
    <t>jcmd 123 JFR.start name=perf settings=profile duration=60s filename=/diagnostics/perf.jfr</t>
  </si>
  <si>
    <t>jcmd 123 GC.heap_dump /diagnostics/heap.hprof</t>
  </si>
  <si>
    <t>S56 S57 S58</t>
  </si>
  <si>
    <t>H. EMFで独自JVM指標を送るデータ構造</t>
  </si>
  <si>
    <t>値も時刻も架空。実装では観測時刻のepoch millisecondsと実測値へ置換し、1イベントをJSON1行でstdoutへ出す。StorageResolution=1は高解像度で保存する指定で、毎秒の測定を開始する設定ではない。収集間隔は別途設計する。TaskIdによりtask別に見られる一方、task入替えごとに時系列が増える。</t>
  </si>
  <si>
    <t xml:space="preserve">  "_aws": {</t>
  </si>
  <si>
    <t xml:space="preserve">    "Timestamp": 1790895600000,</t>
  </si>
  <si>
    <t xml:space="preserve">    "CloudWatchMetrics": [{</t>
  </si>
  <si>
    <t xml:space="preserve">      "Namespace": "PerfTest/JBossEAP",</t>
  </si>
  <si>
    <t xml:space="preserve">      "Dimensions": [["Service", "Environment", "TaskId"]],</t>
  </si>
  <si>
    <t xml:space="preserve">      "Metrics": [</t>
  </si>
  <si>
    <t xml:space="preserve">        {"Name": "HeapUsedBytes", "Unit": "Bytes", "StorageResolution": 1},</t>
  </si>
  <si>
    <t xml:space="preserve">        {"Name": "HeapMaxBytes", "Unit": "Bytes", "StorageResolution": 1},</t>
  </si>
  <si>
    <t xml:space="preserve">        {"Name": "HeapCommittedBytes", "Unit": "Bytes", "StorageResolution": 1}</t>
  </si>
  <si>
    <t xml:space="preserve">      ]</t>
  </si>
  <si>
    <t xml:space="preserve">    }]</t>
  </si>
  <si>
    <t xml:space="preserve">  },</t>
  </si>
  <si>
    <t xml:space="preserve">  "Service": "eap-api", "Environment": "perf-test", "TaskId": "example-task",</t>
  </si>
  <si>
    <t xml:space="preserve">  "HeapUsedBytes": 1073741824,</t>
  </si>
  <si>
    <t xml:space="preserve">  "HeapMaxBytes": 2147483648,</t>
  </si>
  <si>
    <t xml:space="preserve">  "HeapCommittedBytes": 1610612736</t>
  </si>
  <si>
    <t>I. アプリログの構造例とLogs Insights</t>
  </si>
  <si>
    <t>このJSON構造は本資料の設計例。EAPの既定ログ形式ではない。アプリで実装/設定してから検索する。queryで本文やtokenを表示しない。errorの集計は別queryでstatus&gt;=500をfilterする等、定義を明示。</t>
  </si>
  <si>
    <t>{"event":"api_completed","test_run_id":"perf-20261002-01","request_id":"example-id","trace_id":"example-trace","operation":"GET /orders/{id}","duration_ms":120,"status":200,"task_id":"example-task"}</t>
  </si>
  <si>
    <t xml:space="preserve"> </t>
  </si>
  <si>
    <t>fields @timestamp, operation, duration_ms, status</t>
  </si>
  <si>
    <t>| filter event = "api_completed" and test_run_id = "perf-20261002-01"</t>
  </si>
  <si>
    <t>| stats count(*) as requests, avg(duration_ms) as avg_ms,</t>
  </si>
  <si>
    <t xml:space="preserve">        pct(duration_ms, 95) as p95_ms, pct(duration_ms, 99) as p99_ms</t>
  </si>
  <si>
    <t xml:space="preserve">  by bin(1m), operation</t>
  </si>
  <si>
    <t>S34 S35</t>
  </si>
  <si>
    <t>J. JMeterで実行IDと要求IDを保存</t>
  </si>
  <si>
    <t>各API Samplerに作用するJSR223 PreProcessor（Groovy）の設計例。生成は要求につき1回。HTTP Header ManagerへX-Test-Run-Id=${testRunId}とX-Request-Id=${requestId}を設定。アプリも同じ値を構造化ログへ保存する設定が必要。</t>
  </si>
  <si>
    <t>vars.put('testRunId', props.getProperty('runId', 'perf-example'))</t>
  </si>
  <si>
    <t>vars.put('requestId', java.util.UUID.randomUUID().toString())</t>
  </si>
  <si>
    <t>K. WindowsでのJMeter非GUI実行</t>
  </si>
  <si>
    <t>JMeterインストールdirectoryから実行する例。api-test.jmxは別途用意し、出力先は実行ごとに新しい名前にする。今回の資料作成では負荷を発生させていない。</t>
  </si>
  <si>
    <t>.\bin\jmeter.bat -n -t api-test.jmx -JrunId=perf-20261002-01 -Jsample_variables=testRunId,requestId -l results-20261002-01.jtl -e -o report-20261002-01</t>
  </si>
  <si>
    <t>L. 同一JVMのヒープ率とGC率の計算</t>
  </si>
  <si>
    <t>上はメモリゲージ、下はJMX累積GC時間からの期間差分。GC時間率はSTW率と必ずしも等しくない。再起動・未定義max・欠測を除外し、service平均と単一JVMの値を混ぜない。</t>
  </si>
  <si>
    <t>heap_used_ratio = 100 * heap_used_bytes / heap_max_bytes</t>
  </si>
  <si>
    <t xml:space="preserve">  条件: 同一JVM、同時刻、heap_max_bytes &gt; 0</t>
  </si>
  <si>
    <t>gc_time_ratio = 100 * (gc_time_ms_end - gc_time_ms_start) / interval_ms</t>
  </si>
  <si>
    <t xml:space="preserve">  条件: 同一JVM、同一collector、再起動なし、単調な累積値</t>
  </si>
  <si>
    <t>例: 60秒間で累積GC時間が3000ms増加 → 5%</t>
  </si>
  <si>
    <t xml:space="preserve">  この5%をAPI停止率と断定しない。pauseはGCログで確認。</t>
  </si>
  <si>
    <t>S53 S41</t>
  </si>
  <si>
    <t>架空の数値でグラフと計算を学ぶ</t>
  </si>
  <si>
    <t>このシートの全数値は説明用の架空値。実環境の測定結果・推奨閾値ではない。入力欄の数値を変えると計算結果とグラフが変わる。</t>
  </si>
  <si>
    <t>入力欄＝グレー＋太枠　計算結果＝白　／　比率は同一JVM・同一時刻で計算</t>
  </si>
  <si>
    <t>Heap Used（MiB）</t>
  </si>
  <si>
    <t>Heap Max（MiB）</t>
  </si>
  <si>
    <t>heap used / max</t>
  </si>
  <si>
    <t>架空の入力例</t>
  </si>
  <si>
    <t>Committed（MiB）</t>
  </si>
  <si>
    <t>used / committed</t>
  </si>
  <si>
    <t>GC累積の増分（ms）</t>
  </si>
  <si>
    <t>期間（秒）</t>
  </si>
  <si>
    <t>GC時間率（STWとは別）</t>
  </si>
  <si>
    <t>成功件数</t>
  </si>
  <si>
    <t>成功RPS</t>
  </si>
  <si>
    <t>失敗件数</t>
  </si>
  <si>
    <t>試行件数</t>
  </si>
  <si>
    <t>失敗率</t>
  </si>
  <si>
    <t>最大task数</t>
  </si>
  <si>
    <t>1taskのpool上限</t>
  </si>
  <si>
    <t>EAPの最大接続予算</t>
  </si>
  <si>
    <t>到着率（件/秒）</t>
  </si>
  <si>
    <t>平均時間（秒）</t>
  </si>
  <si>
    <t>平均同時処理（定常）</t>
  </si>
  <si>
    <t>接続予算の例：EAP 200接続 ＋ 他用途30接続 ＝ 230接続。DBの許容枠と比較。Littleの法則は平均値・定常状態の見積りで、p95からは計算しない。</t>
  </si>
  <si>
    <t>A. heapの鋸歯状と、回収後の底上がり（すべて架空値）</t>
  </si>
  <si>
    <t>時刻（分）</t>
  </si>
  <si>
    <t>安定（MiB）</t>
  </si>
  <si>
    <t>底上がり（MiB）</t>
  </si>
  <si>
    <t>ヒープ例：正常な波と、GC後に残る量が徐々に増える波を比較。後者だけで漏れは確定せず、cacheや滞留も調査する。</t>
  </si>
  <si>
    <t>B. 負荷を増やしたときの遅延（すべて架空値）</t>
  </si>
  <si>
    <t>予定RPS</t>
  </si>
  <si>
    <t>p95（ms）</t>
  </si>
  <si>
    <t>負荷例：RPSを増やすとp95が急に悪化し、最終段階では成功RPSも伸びなくなる。限界の手前で必要なSLOを守れる容量を探す。</t>
  </si>
  <si>
    <t>実行前後の確認・結果記入</t>
  </si>
  <si>
    <t>資料に記載した設定例は未実行。各行の状態と、実際の結果・証拠を記入して使用する。ドロップダウンは色だけに頼らず状態名で区別する。</t>
  </si>
  <si>
    <t>区分</t>
  </si>
  <si>
    <t>確認項目</t>
  </si>
  <si>
    <t>証拠の例</t>
  </si>
  <si>
    <t>状態（入力）</t>
  </si>
  <si>
    <t>結果・証拠・担当（入力）</t>
  </si>
  <si>
    <t>前提</t>
  </si>
  <si>
    <t>EAP 8.1のupdateとRed Hat JDK21のpatch/buildを記録</t>
  </si>
  <si>
    <t>実行中JVMの版、image digest</t>
  </si>
  <si>
    <t>未確認</t>
  </si>
  <si>
    <t>対象AWS経路と利用region/AZを確定</t>
  </si>
  <si>
    <t>構成図、resource識別一覧</t>
  </si>
  <si>
    <t>API別のRPS・p95/p99・error率・業務完了条件を合意</t>
  </si>
  <si>
    <t>SLO/合否表</t>
  </si>
  <si>
    <t>資源</t>
  </si>
  <si>
    <t>task/container CPU・RAMと実効heap上限を照合</t>
  </si>
  <si>
    <t>task定義、JMX/jcmd</t>
  </si>
  <si>
    <t>最大task数を含むDB接続予算を確認</t>
  </si>
  <si>
    <t>task数×pool上限＋他接続</t>
  </si>
  <si>
    <t>収集</t>
  </si>
  <si>
    <t>Container Insights enhancedでtask別値が出る</t>
  </si>
  <si>
    <t>TaskId/ContainerNameのグラフ</t>
  </si>
  <si>
    <t>Application SignalsのAPI/JVM値が出る</t>
  </si>
  <si>
    <t>HeapUsed、GC、thread、API指標</t>
  </si>
  <si>
    <t>heap max/committedとEAP poolの補完を確認</t>
  </si>
  <si>
    <t>独自namespace/AMPと管理値の一致</t>
  </si>
  <si>
    <t>EAP/GC/Collectorログをtask停止後も読める</t>
  </si>
  <si>
    <t>log groupと保持設定</t>
  </si>
  <si>
    <t>正常・遅延・失敗のtrace経路を確認</t>
  </si>
  <si>
    <t>HTTP/JDBC spanと対応task</t>
  </si>
  <si>
    <t>DB監視のエンジン/モード/保持を確認</t>
  </si>
  <si>
    <t>DB Loadのwait/SQL画面</t>
  </si>
  <si>
    <t>相関</t>
  </si>
  <si>
    <t>JTL→request ID→log→traceを1件追跡</t>
  </si>
  <si>
    <t>対応するIDと時刻</t>
  </si>
  <si>
    <t>UTC/JSTと負荷段階の境界を揃える</t>
  </si>
  <si>
    <t>実行ID、開始・終了、段階表</t>
  </si>
  <si>
    <t>負荷</t>
  </si>
  <si>
    <t>生成器自身のCPU/heap/GC/networkに余裕</t>
  </si>
  <si>
    <t>生成器別の監視値</t>
  </si>
  <si>
    <t>代表的なデータ量・cache状態・API比率を再現</t>
  </si>
  <si>
    <t>データ条件とseed等</t>
  </si>
  <si>
    <t>予定の到着量と実際の開始/成功RPSを照合</t>
  </si>
  <si>
    <t>計画・開始・完了件数</t>
  </si>
  <si>
    <t>実行</t>
  </si>
  <si>
    <t>warm-upと定常と回復を分けて保存</t>
  </si>
  <si>
    <t>各区間の統計とグラフ</t>
  </si>
  <si>
    <t>long runでheap底や接続等の蓄積を確認</t>
  </si>
  <si>
    <t>同一taskの長時間曲線</t>
  </si>
  <si>
    <t>scale-outの起動からhealthyまでを記録</t>
  </si>
  <si>
    <t>時刻付きイベント</t>
  </si>
  <si>
    <t>品質</t>
  </si>
  <si>
    <t>欠測とゼロ、task入替えを識別</t>
  </si>
  <si>
    <t>欠測理由とstopped reason</t>
  </si>
  <si>
    <t>span/log/metricのdropや重複経路を確認</t>
  </si>
  <si>
    <t>Collectorログ、送信量</t>
  </si>
  <si>
    <t>報告</t>
  </si>
  <si>
    <t>母集団・単位・統計・samplingを結果へ記載</t>
  </si>
  <si>
    <t>分析条件一覧</t>
  </si>
  <si>
    <t>原因を確認済みと仮説に分けて報告</t>
  </si>
  <si>
    <t>根拠trace/log、追加確認項目</t>
  </si>
  <si>
    <t>保管</t>
  </si>
  <si>
    <t>JTL/監視値/設定を必要な粒度で保管</t>
  </si>
  <si>
    <t>保存先と保持期限</t>
  </si>
  <si>
    <t>公式資料と確認対象</t>
  </si>
  <si>
    <t>一次資料83件。各行のURLから原文へ移動する。現在仕様には現行ガイド、登場年月には当時の公式発表を使用。Web資料は確認後に変更される場合がある。</t>
  </si>
  <si>
    <t>ID</t>
  </si>
  <si>
    <t>公式資料</t>
  </si>
  <si>
    <t>確認した事項</t>
  </si>
  <si>
    <t>公式URL</t>
  </si>
  <si>
    <t>確認日</t>
  </si>
  <si>
    <t>Application Signalsの収集指標</t>
  </si>
  <si>
    <t>JVM指標の正式名・単位・次元、既知問題、Fault/Errorの定義</t>
  </si>
  <si>
    <t>https://docs.aws.amazon.com/AmazonCloudWatch/latest/monitoring/AppSignals-MetricsCollected.html</t>
  </si>
  <si>
    <t>2026-10-02</t>
  </si>
  <si>
    <t>S02</t>
  </si>
  <si>
    <t>Application SignalsをECSで有効化</t>
  </si>
  <si>
    <t>Fargateはsidecar方式。ECSではサービス名を設定</t>
  </si>
  <si>
    <t>https://docs.aws.amazon.com/AmazonCloudWatch/latest/monitoring/CloudWatch-Application-Signals-Enable-ECSMain.html</t>
  </si>
  <si>
    <t>Application Signalsのsidecar設定</t>
  </si>
  <si>
    <t>Java agent、CloudWatch agent、環境変数、IAM、4316の経路</t>
  </si>
  <si>
    <t>https://docs.aws.amazon.com/AmazonCloudWatch/latest/monitoring/CloudWatch-Application-Signals-ECS-Sidecar.html</t>
  </si>
  <si>
    <t>S04</t>
  </si>
  <si>
    <t>Application Signals対応システム</t>
  </si>
  <si>
    <t>Java対応はADOTと対応ライブラリに依存</t>
  </si>
  <si>
    <t>https://docs.aws.amazon.com/AmazonCloudWatch/latest/monitoring/CloudWatch-Application-Signals-supportmatrix.html</t>
  </si>
  <si>
    <t>ECS Enhanced Container Insights指標</t>
  </si>
  <si>
    <t>タスク・コンテナ指標、TaskId次元、RestartCountの条件</t>
  </si>
  <si>
    <t>https://docs.aws.amazon.com/AmazonCloudWatch/latest/monitoring/Container-Insights-enhanced-observability-metrics-ECS.html</t>
  </si>
  <si>
    <t>S06</t>
  </si>
  <si>
    <t>ECSのCloudWatch監視</t>
  </si>
  <si>
    <t>Fargateサービスの標準CPU・メモリ指標</t>
  </si>
  <si>
    <t>https://docs.aws.amazon.com/AmazonECS/latest/developerguide/cloudwatch-metrics.html</t>
  </si>
  <si>
    <t>ECSサービス使用率と高解像度指標</t>
  </si>
  <si>
    <t>使用率の母数、標準60秒、選択可能な20秒</t>
  </si>
  <si>
    <t>https://docs.aws.amazon.com/AmazonECS/latest/developerguide/service_utilization.html</t>
  </si>
  <si>
    <t>S08</t>
  </si>
  <si>
    <t>Container Insightsの設定</t>
  </si>
  <si>
    <t>クラスター設定enabled/enhanced</t>
  </si>
  <si>
    <t>https://docs.aws.amazon.com/AmazonCloudWatch/latest/monitoring/deploy-container-insights-ECS-cluster.html</t>
  </si>
  <si>
    <t>Container InsightsのECS概要</t>
  </si>
  <si>
    <t>2024年12月2日の拡張版、性能ログからの集計</t>
  </si>
  <si>
    <t>https://docs.aws.amazon.com/AmazonECS/latest/developerguide/cloudwatch-container-insights.html</t>
  </si>
  <si>
    <t>ALBのCloudWatch指標</t>
  </si>
  <si>
    <t>ALB指標名、集計、TargetResponseTimeの計測区間</t>
  </si>
  <si>
    <t>https://docs.aws.amazon.com/elasticloadbalancing/latest/application/load-balancer-cloudwatch-metrics.html</t>
  </si>
  <si>
    <t>ALBアクセスログ</t>
  </si>
  <si>
    <t>処理時間の3区間、WAF/POSTの扱い、best effortの性質</t>
  </si>
  <si>
    <t>https://docs.aws.amazon.com/elasticloadbalancing/latest/application/load-balancer-access-logs.html</t>
  </si>
  <si>
    <t>S12</t>
  </si>
  <si>
    <t>ALBのリクエスト追跡</t>
  </si>
  <si>
    <t>X-Amzn-Trace-Idの付与・更新</t>
  </si>
  <si>
    <t>https://docs.aws.amazon.com/elasticloadbalancing/latest/application/load-balancer-request-tracing.html</t>
  </si>
  <si>
    <t>S13</t>
  </si>
  <si>
    <t>ALBのCloudWatch Logs連携</t>
  </si>
  <si>
    <t>access/connection/health checkログの配信経路</t>
  </si>
  <si>
    <t>https://docs.aws.amazon.com/elasticloadbalancing/latest/application/load-balancer-cloudwatch-logs.html</t>
  </si>
  <si>
    <t>REST API Gateway指標</t>
  </si>
  <si>
    <t>Latency/IntegrationLatency、4XXError/5XXError、Countの統計</t>
  </si>
  <si>
    <t>https://docs.aws.amazon.com/apigateway/latest/developerguide/api-gateway-metrics-and-dimensions.html</t>
  </si>
  <si>
    <t>S15</t>
  </si>
  <si>
    <t>HTTP API Gateway指標</t>
  </si>
  <si>
    <t>HTTP APIの4xx/5xxと詳細指標</t>
  </si>
  <si>
    <t>https://docs.aws.amazon.com/apigateway/latest/developerguide/http-api-metrics.html</t>
  </si>
  <si>
    <t>S16</t>
  </si>
  <si>
    <t>API Gateway REST APIのX-Ray</t>
  </si>
  <si>
    <t>REST APIのactive tracing</t>
  </si>
  <si>
    <t>https://docs.aws.amazon.com/apigateway/latest/developerguide/apigateway-xray.html</t>
  </si>
  <si>
    <t>RDSのCloudWatch指標</t>
  </si>
  <si>
    <t>CPU、接続、メモリ、I/O、クレジットの定義</t>
  </si>
  <si>
    <t>https://docs.aws.amazon.com/AmazonRDS/latest/UserGuide/rds-metrics.html</t>
  </si>
  <si>
    <t>AuroraのCloudWatch指標</t>
  </si>
  <si>
    <t>Auroraのレプリカ遅延・Serverless指標</t>
  </si>
  <si>
    <t>https://docs.aws.amazon.com/AmazonRDS/latest/AuroraUserGuide/Aurora.AuroraMonitoring.Metrics.html</t>
  </si>
  <si>
    <t>S19</t>
  </si>
  <si>
    <t>CloudWatch Database Insights</t>
  </si>
  <si>
    <t>2026年のPerformance Insights移行、現行モード・保持期間</t>
  </si>
  <si>
    <t>https://docs.aws.amazon.com/AmazonCloudWatch/latest/monitoring/Database-Insights.html</t>
  </si>
  <si>
    <t>S20</t>
  </si>
  <si>
    <t>Database Insightsインスタンス画面</t>
  </si>
  <si>
    <t>DB Load、SQL、待機の診断</t>
  </si>
  <si>
    <t>https://docs.aws.amazon.com/AmazonCloudWatch/latest/monitoring/Database-Insights-Database-Instance-Dashboard.html</t>
  </si>
  <si>
    <t>RDS Enhanced Monitoring</t>
  </si>
  <si>
    <t>DBのOS内部を監視。ECS上のJavaとは別</t>
  </si>
  <si>
    <t>https://docs.aws.amazon.com/AmazonRDS/latest/UserGuide/USER_Monitoring.OS.html</t>
  </si>
  <si>
    <t>S22</t>
  </si>
  <si>
    <t>Database Insightsと従来API</t>
  </si>
  <si>
    <t>DB待機分類とPerformance Insights API文書の継続</t>
  </si>
  <si>
    <t>https://docs.aws.amazon.com/AmazonRDS/latest/UserGuide/USER_PerfInsights.html</t>
  </si>
  <si>
    <t>RDS Proxyの指標</t>
  </si>
  <si>
    <t>接続借用待ちとDB接続の指標</t>
  </si>
  <si>
    <t>https://docs.aws.amazon.com/AmazonRDS/latest/UserGuide/rds-proxy.monitoring.html</t>
  </si>
  <si>
    <t>ElastiCache Valkey/Redis OSS指標</t>
  </si>
  <si>
    <t>ノード型キャッシュのエンジンCPU、メモリ、退避</t>
  </si>
  <si>
    <t>https://docs.aws.amazon.com/AmazonElastiCache/latest/dg/CacheMetrics.Redis.html</t>
  </si>
  <si>
    <t>CloudFrontの指標</t>
  </si>
  <si>
    <t>us-east-1、追加指標、OriginLatency</t>
  </si>
  <si>
    <t>https://docs.aws.amazon.com/AmazonCloudFront/latest/DeveloperGuide/programming-cloudwatch-metrics.html</t>
  </si>
  <si>
    <t>WAFの指標</t>
  </si>
  <si>
    <t>AWS/WAFV2、許可・遮断の件数</t>
  </si>
  <si>
    <t>https://docs.aws.amazon.com/waf/latest/developerguide/waf-metrics.html</t>
  </si>
  <si>
    <t>NAT Gatewayの指標</t>
  </si>
  <si>
    <t>ポート割当失敗、接続、破棄</t>
  </si>
  <si>
    <t>https://docs.aws.amazon.com/vpc/latest/userguide/metrics-dimensions-nat-gateway.html</t>
  </si>
  <si>
    <t>SQSの指標</t>
  </si>
  <si>
    <t>最古メッセージ経過時間、近似キュー件数</t>
  </si>
  <si>
    <t>https://docs.aws.amazon.com/AWSSimpleQueueService/latest/SQSDeveloperGuide/sqs-available-cloudwatch-metrics.html</t>
  </si>
  <si>
    <t>Lambdaの指標</t>
  </si>
  <si>
    <t>Duration、Errors、Throttles、同時実行</t>
  </si>
  <si>
    <t>https://docs.aws.amazon.com/lambda/latest/dg/monitoring-metrics-types.html</t>
  </si>
  <si>
    <t>DynamoDBの指標</t>
  </si>
  <si>
    <t>成功時遅延、容量、スロットリング</t>
  </si>
  <si>
    <t>https://docs.aws.amazon.com/amazondynamodb/latest/developerguide/metrics-dimensions.html</t>
  </si>
  <si>
    <t>S3の指標</t>
  </si>
  <si>
    <t>有効化が必要なリクエスト指標</t>
  </si>
  <si>
    <t>https://docs.aws.amazon.com/AmazonS3/latest/userguide/metrics-dimensions.html</t>
  </si>
  <si>
    <t>EFSの指標</t>
  </si>
  <si>
    <t>PercentIOLimit、スループット、適用条件</t>
  </si>
  <si>
    <t>https://docs.aws.amazon.com/efs/latest/ug/efs-metrics.html</t>
  </si>
  <si>
    <t>CloudWatchのメトリクス概念</t>
  </si>
  <si>
    <t>名前空間・次元・統計・期間・保持</t>
  </si>
  <si>
    <t>https://docs.aws.amazon.com/AmazonCloudWatch/latest/monitoring/cloudwatch_concepts.html</t>
  </si>
  <si>
    <t>S34</t>
  </si>
  <si>
    <t>CloudWatch Logs Insights</t>
  </si>
  <si>
    <t>ログ検索の役割・費用の考え方</t>
  </si>
  <si>
    <t>https://docs.aws.amazon.com/AmazonCloudWatch/latest/logs/AnalyzingLogData.html</t>
  </si>
  <si>
    <t>S35</t>
  </si>
  <si>
    <t>Logs Insightsのstats</t>
  </si>
  <si>
    <t>bin、avg、pct等の集計構文</t>
  </si>
  <si>
    <t>https://docs.aws.amazon.com/AmazonCloudWatch/latest/logs/CWL_QuerySyntax-Stats.html</t>
  </si>
  <si>
    <t>CloudWatch Transaction Search</t>
  </si>
  <si>
    <t>受信spanのログ保存、aws/spans、トレース索引</t>
  </si>
  <si>
    <t>https://docs.aws.amazon.com/AmazonCloudWatch/latest/monitoring/CloudWatch-Transaction-Search.html</t>
  </si>
  <si>
    <t>S37</t>
  </si>
  <si>
    <t>Transaction Searchの有効化</t>
  </si>
  <si>
    <t>保存先設定・権限・索引割合</t>
  </si>
  <si>
    <t>https://docs.aws.amazon.com/AmazonCloudWatch/latest/monitoring/Enable-TransactionSearch.html</t>
  </si>
  <si>
    <t>S38</t>
  </si>
  <si>
    <t>X-Ray SDK/daemonのサポート日程</t>
  </si>
  <si>
    <t>2026-02-25からメンテナンスモード。現行表の終了日はN/A</t>
  </si>
  <si>
    <t>https://docs.aws.amazon.com/xray/latest/devguide/xray-sdk-daemon-timeline.html</t>
  </si>
  <si>
    <t>S39</t>
  </si>
  <si>
    <t>X-RayからOpenTelemetryへの移行</t>
  </si>
  <si>
    <t>計装をOpenTelemetryへ移行する推奨</t>
  </si>
  <si>
    <t>https://docs.aws.amazon.com/xray/latest/devguide/xray-sdk-migration.html</t>
  </si>
  <si>
    <t>OpenTelemetry Java対応ライブラリ</t>
  </si>
  <si>
    <t>WildFly/OpenJDK21、JDBC、既定無効のjdbc-datasource等</t>
  </si>
  <si>
    <t>https://github.com/open-telemetry/opentelemetry-java-instrumentation/blob/main/docs/supported-libraries.md</t>
  </si>
  <si>
    <t>S41</t>
  </si>
  <si>
    <t>CloudWatch agentのJMX収集</t>
  </si>
  <si>
    <t>jvm.memory.heap.*。公式手順はEC2/EKS向け</t>
  </si>
  <si>
    <t>https://docs.aws.amazon.com/AmazonCloudWatch/latest/monitoring/CloudWatch-Agent-JMX-metrics.html</t>
  </si>
  <si>
    <t>S42</t>
  </si>
  <si>
    <t>ECSのPrometheus収集</t>
  </si>
  <si>
    <t>Fargate awsvpcでのPrometheus収集経路</t>
  </si>
  <si>
    <t>https://docs.aws.amazon.com/AmazonCloudWatch/latest/monitoring/ContainerInsights-Prometheus-Setup-ECS.html</t>
  </si>
  <si>
    <t>ECSからAMPへのアプリ指標送信</t>
  </si>
  <si>
    <t>ADOT Collector、remote_write、タスクロール</t>
  </si>
  <si>
    <t>https://docs.aws.amazon.com/AmazonECS/latest/developerguide/application-metrics-prometheus.html</t>
  </si>
  <si>
    <t>S44</t>
  </si>
  <si>
    <t>Prometheus JMX Exporter Java agent</t>
  </si>
  <si>
    <t>同一JVM内のMBean収集、bindアドレス指定</t>
  </si>
  <si>
    <t>https://prometheus.github.io/jmx_exporter/deployment/java-agent/</t>
  </si>
  <si>
    <t>S45</t>
  </si>
  <si>
    <t>EAP 8のサポート構成</t>
  </si>
  <si>
    <t>EAP 8.1とRed Hat build of OpenJDK 21。OS等の条件も必要</t>
  </si>
  <si>
    <t>https://access.redhat.com/articles/6961381</t>
  </si>
  <si>
    <t>S46</t>
  </si>
  <si>
    <t>EAP 8.1の対応構成・コンテナ</t>
  </si>
  <si>
    <t>OpenJDK21/RHEL9イメージ。Fargateの認定を意味しない</t>
  </si>
  <si>
    <t>https://docs.redhat.com/en/documentation/red_hat_jboss_enterprise_application_platform/8.1/html/release_notes_for_red_hat_jboss_enterprise_application_platform_8.1/supported-configurations-rn_assembly-release-notes</t>
  </si>
  <si>
    <t>S47</t>
  </si>
  <si>
    <t>EAP 8.1の性能監視</t>
  </si>
  <si>
    <t>JMX、JConsole等のJVM監視</t>
  </si>
  <si>
    <t>https://docs.redhat.com/en/documentation/red_hat_jboss_enterprise_application_platform/8.1/html/performance_tuning_for_red_hat_jboss_enterprise_application_platform/assembly-monitoring-performance_performance-tuning-guide</t>
  </si>
  <si>
    <t>EAP 8.1のJVMチューニング</t>
  </si>
  <si>
    <t>ヒープ、GCログ、heap dump</t>
  </si>
  <si>
    <t>https://docs.redhat.com/en/documentation/red_hat_jboss_enterprise_application_platform/8.1/html/performance_tuning_for_red_hat_jboss_enterprise_application_platform/assembly-jvm-tuning_performance-tuning-guide</t>
  </si>
  <si>
    <t>S49</t>
  </si>
  <si>
    <t>EAP 8.1の接続プール</t>
  </si>
  <si>
    <t>統計の事前有効化とプール容量設計</t>
  </si>
  <si>
    <t>https://docs.redhat.com/en/documentation/red_hat_jboss_enterprise_application_platform/8.1/html/performance_tuning_for_red_hat_jboss_enterprise_application_platform/assembly-datasource-resource-adapter-tuning_performance-tuning-guide</t>
  </si>
  <si>
    <t>EAP 8.1の管理属性リファレンス</t>
  </si>
  <si>
    <t>InUseCount、ActiveCount、worker queue等の定義</t>
  </si>
  <si>
    <t>https://docs.redhat.com/en/documentation/red_hat_jboss_enterprise_application_platform/8.1/html/configuration_guide/reference_material</t>
  </si>
  <si>
    <t>S51</t>
  </si>
  <si>
    <t>EAP 8.1のdatasource管理</t>
  </si>
  <si>
    <t>管理CLIの読み取りとstatistics-enabled</t>
  </si>
  <si>
    <t>https://docs.redhat.com/en/documentation/red_hat_jboss_enterprise_application_platform/8.1/html/configuration_guide/datasource_management</t>
  </si>
  <si>
    <t>S52</t>
  </si>
  <si>
    <t>EAP XP 6のMicroProfile</t>
  </si>
  <si>
    <t>XPの条件、MicroProfile Metricsをそのまま前提にしない</t>
  </si>
  <si>
    <t>https://docs.redhat.com/en/documentation/red_hat_jboss_enterprise_application_platform/8.1/html/using_jboss_eap_xp_6.0/understand_microprofile</t>
  </si>
  <si>
    <t>Java 21 MemoryUsage</t>
  </si>
  <si>
    <t>used/committed/max/init、max=-1</t>
  </si>
  <si>
    <t>https://docs.oracle.com/en/java/javase/21/docs/api/java.management/java/lang/management/MemoryUsage.html</t>
  </si>
  <si>
    <t>S54</t>
  </si>
  <si>
    <t>Java 21 MemoryMXBean</t>
  </si>
  <si>
    <t>ヒープとnon-heapの境界</t>
  </si>
  <si>
    <t>https://docs.oracle.com/en/java/javase/21/docs/api/java.management/java/lang/management/MemoryMXBean.html</t>
  </si>
  <si>
    <t>S55</t>
  </si>
  <si>
    <t>Java 21 ThreadMXBean</t>
  </si>
  <si>
    <t>platform threadとvirtual threadの監視範囲</t>
  </si>
  <si>
    <t>https://docs.oracle.com/en/java/javase/21/docs/api/java.management/java/lang/management/ThreadMXBean.html</t>
  </si>
  <si>
    <t>S56</t>
  </si>
  <si>
    <t>Java 21 jcmd</t>
  </si>
  <si>
    <t>VM.flags、GC.heap_info、JFR、thread dump、heap dump</t>
  </si>
  <si>
    <t>https://docs.oracle.com/en/java/javase/21/docs/specs/man/jcmd.html</t>
  </si>
  <si>
    <t>S57</t>
  </si>
  <si>
    <t>Java 21 Native Memory Tracking</t>
  </si>
  <si>
    <t>起動時設定、対象範囲、負荷</t>
  </si>
  <si>
    <t>https://docs.oracle.com/en/java/javase/21/vm/native-memory-tracking.html</t>
  </si>
  <si>
    <t>S58</t>
  </si>
  <si>
    <t>Red Hat build of OpenJDK 21の配布</t>
  </si>
  <si>
    <t>JFR/JMCによる診断</t>
  </si>
  <si>
    <t>https://docs.redhat.com/en/documentation/red_hat_build_of_openjdk/21/html/getting_started_with_red_hat_build_of_openjdk_21/openjdk-distribution-selection</t>
  </si>
  <si>
    <t>JMeter用語集</t>
  </si>
  <si>
    <t>Elapsed/Latency/Connect Time/Throughputの境界</t>
  </si>
  <si>
    <t>https://jmeter.apache.org/usermanual/glossary.html</t>
  </si>
  <si>
    <t>JMeter Best Practices</t>
  </si>
  <si>
    <t>非GUI実行、Listener負荷、計測器側の制約</t>
  </si>
  <si>
    <t>https://jmeter.apache.org/usermanual/best-practices.html</t>
  </si>
  <si>
    <t>S61</t>
  </si>
  <si>
    <t>ECS Exec</t>
  </si>
  <si>
    <t>診断コマンドの実行条件、IAM、SSM、コンテナ</t>
  </si>
  <si>
    <t>https://docs.aws.amazon.com/AmazonECS/latest/developerguide/ecs-exec.html</t>
  </si>
  <si>
    <t>S62</t>
  </si>
  <si>
    <t>ECSのawslogs</t>
  </si>
  <si>
    <t>stdout/stderrをCloudWatch Logsへ送信</t>
  </si>
  <si>
    <t>https://docs.aws.amazon.com/AmazonECS/latest/developerguide/using_awslogs.html</t>
  </si>
  <si>
    <t>CloudWatch Embedded Metric Format</t>
  </si>
  <si>
    <t>ログからカスタム指標を抽出。高cardinalityと重複への注意</t>
  </si>
  <si>
    <t>https://docs.aws.amazon.com/AmazonCloudWatch/latest/monitoring/CloudWatch_Embedded_Metric_Format.html</t>
  </si>
  <si>
    <t>CloudWatch料金</t>
  </si>
  <si>
    <t>地域・使用量別料金。資料では単価を固定しない</t>
  </si>
  <si>
    <t>https://aws.amazon.com/cloudwatch/pricing/</t>
  </si>
  <si>
    <t>CloudWatch登場の公式発表</t>
  </si>
  <si>
    <t>2009年5月の登場背景のみ参照</t>
  </si>
  <si>
    <t>https://aws.amazon.com/blogs/aws/new-aws-load-balancing-automatic-scaling-and-cloud-monitoring-services/</t>
  </si>
  <si>
    <t>CloudWatch Logsの登場</t>
  </si>
  <si>
    <t>https://aws.amazon.com/about-aws/whats-new/2014/07/10/introducing-amazon-cloudwatch-logs/</t>
  </si>
  <si>
    <t>X-Ray一般提供</t>
  </si>
  <si>
    <t>https://aws.amazon.com/about-aws/whats-new/2017/04/aws-x-ray-now-generally-available/</t>
  </si>
  <si>
    <t>Fargateの登場</t>
  </si>
  <si>
    <t>https://aws.amazon.com/about-aws/whats-new/2017/11/introducing-aws-fargate-a-technology-to-run-containers-without-managing-infrastructure/</t>
  </si>
  <si>
    <t>S69</t>
  </si>
  <si>
    <t>統合CloudWatch agentの登場</t>
  </si>
  <si>
    <t>https://aws.amazon.com/about-aws/whats-new/2017/12/amazon-cloudwatch-introduces-a-new-cloudwatch-agent-with-aws-systems-manager-integration-for-unified-metrics-and-logs-collection/</t>
  </si>
  <si>
    <t>https://aws.amazon.com/about-aws/whats-new/2018/11/announcing-amazon-cloudwatch-logs-insights-fast-interactive-log-analytics/</t>
  </si>
  <si>
    <t>https://aws.amazon.com/about-aws/whats-new/2019/08/container-monitoring-for-amazon-ecs-eks-and-kubernetes-is-now-available-in-amazon-cloudwatch/</t>
  </si>
  <si>
    <t>OpenTelemetryの誕生</t>
  </si>
  <si>
    <t>2019年のOpenTracingとOpenCensus統合</t>
  </si>
  <si>
    <t>https://www.cncf.io/blog/2019/05/21/a-brief-history-of-opentelemetry-so-far/</t>
  </si>
  <si>
    <t>Synthetics一般提供</t>
  </si>
  <si>
    <t>https://aws.amazon.com/about-aws/whats-new/2020/04/amazon-cloudwatch-synthetics-generally-available/</t>
  </si>
  <si>
    <t>https://aws.amazon.com/about-aws/whats-new/2020/10/announcing-aws-distro-for-opentelemetry-in-preview/</t>
  </si>
  <si>
    <t>Managed Grafana一般提供</t>
  </si>
  <si>
    <t>2021-08-31</t>
  </si>
  <si>
    <t>https://aws.amazon.com/blogs/aws/amazon-managed-grafana-is-now-generally-available-with-many-new-features/</t>
  </si>
  <si>
    <t>S76</t>
  </si>
  <si>
    <t>AMP一般提供</t>
  </si>
  <si>
    <t>2021-09-29</t>
  </si>
  <si>
    <t>https://press.aboutamazon.com/2021/9/aws-announces-general-availability-of-amazon-managed-service-for-prometheus</t>
  </si>
  <si>
    <t>S77</t>
  </si>
  <si>
    <t>CloudWatch RUMの登場</t>
  </si>
  <si>
    <t>https://aws.amazon.com/blogs/aws/cloudwatch-rum/</t>
  </si>
  <si>
    <t>https://aws.amazon.com/about-aws/whats-new/2024/06/amazon-cloudwatch-application-signals-application-monitoring/</t>
  </si>
  <si>
    <t>S79</t>
  </si>
  <si>
    <t>https://aws.amazon.com/about-aws/whats-new/2024/11/amazon-cloudwatch-visibility-application-transactions/</t>
  </si>
  <si>
    <t>https://aws.amazon.com/about-aws/whats-new/2024/12/amazon-cloudwatch-database-insights/</t>
  </si>
  <si>
    <t>S81</t>
  </si>
  <si>
    <t>ECSの20秒指標の発表</t>
  </si>
  <si>
    <t>2026-06-18。従来60秒との違い</t>
  </si>
  <si>
    <t>https://aws.amazon.com/about-aws/whats-new/2026/06/amazon-ecs-faster-autoscaling/</t>
  </si>
  <si>
    <t>S82</t>
  </si>
  <si>
    <t>ALBログのCloudWatch連携の発表</t>
  </si>
  <si>
    <t>2026-07-23。S3限定という旧説明を更新</t>
  </si>
  <si>
    <t>https://aws.amazon.com/about-aws/whats-new/2026/07/amazon-cloudwatch-logs/</t>
  </si>
  <si>
    <t>OpenTelemetryのCNCF Graduation</t>
  </si>
  <si>
    <t>2026-05-21。歴史の補足</t>
  </si>
  <si>
    <t>https://www.cncf.io/announcements/2026/05/21/cloud-native-computing-foundation-announces-opentelemetrys-graduation-solidifying-status-as-the-de-facto-observability-standard/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</si>
</sst>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0">
    <font>
      <sz val="11"/>
      <color theme="1"/>
      <name val="Meiryo UI"/>
      <family val="2"/>
    </font>
    <font>
      <sz val="11"/>
      <color rgb="FF222222"/>
      <name val="Meiryo UI"/>
      <family val="2"/>
    </font>
    <font>
      <b/>
      <sz val="22"/>
      <color rgb="FFFFFFFF"/>
      <name val="Meiryo UI"/>
      <family val="2"/>
    </font>
    <font>
      <sz val="10"/>
      <color rgb="FF222222"/>
      <name val="Meiryo UI"/>
      <family val="2"/>
    </font>
    <font>
      <sz val="11"/>
      <color rgb="FF222222"/>
      <name val="Meiryo UI"/>
      <family val="2"/>
    </font>
    <font>
      <u/>
      <sz val="10"/>
      <color rgb="FF333333"/>
      <name val="Meiryo UI"/>
      <family val="2"/>
    </font>
    <font>
      <b/>
      <sz val="11"/>
      <color rgb="FFFFFFFF"/>
      <name val="Meiryo UI"/>
      <family val="2"/>
    </font>
    <font>
      <b/>
      <sz val="11"/>
      <color rgb="FF222222"/>
      <name val="Meiryo UI"/>
      <family val="2"/>
    </font>
    <font>
      <sz val="12"/>
      <color rgb="FF222222"/>
      <name val="Meiryo UI"/>
      <family val="2"/>
    </font>
    <font>
      <sz val="8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52525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4B4B4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0E0E0"/>
        <bgColor indexed="64"/>
      </patternFill>
    </fill>
  </fills>
  <borders count="5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6" fillId="6" borderId="2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164" fontId="8" fillId="9" borderId="3" xfId="0" applyNumberFormat="1" applyFont="1" applyFill="1" applyBorder="1" applyAlignment="1">
      <alignment horizontal="right" vertical="top" wrapText="1"/>
    </xf>
    <xf numFmtId="165" fontId="7" fillId="0" borderId="4" xfId="0" applyNumberFormat="1" applyFont="1" applyBorder="1" applyAlignment="1">
      <alignment horizontal="right" vertical="top" wrapText="1"/>
    </xf>
    <xf numFmtId="164" fontId="7" fillId="0" borderId="4" xfId="0" applyNumberFormat="1" applyFont="1" applyBorder="1" applyAlignment="1">
      <alignment horizontal="right" vertical="top" wrapText="1"/>
    </xf>
    <xf numFmtId="164" fontId="4" fillId="0" borderId="2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aseline="0">
                <a:latin typeface="Meiryo UI"/>
              </a:defRPr>
            </a:pPr>
            <a:r>
              <a:rPr lang="en-US" sz="1300" baseline="0">
                <a:latin typeface="Meiryo UI"/>
              </a:rPr>
              <a:t>heapの波：架空例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'18_例と計算'!$B$17</c:f>
              <c:strCache>
                <c:ptCount val="1"/>
                <c:pt idx="0">
                  <c:v>安定（MiB）</c:v>
                </c:pt>
              </c:strCache>
            </c:strRef>
          </c:tx>
          <c:spPr>
            <a:ln w="28575">
              <a:solidFill>
                <a:srgbClr val="222222"/>
              </a:solidFill>
              <a:prstDash val="solid"/>
            </a:ln>
          </c:spPr>
          <c:marker>
            <c:symbol val="none"/>
          </c:marker>
          <c:cat>
            <c:numRef>
              <c:f>'18_例と計算'!$A$18:$A$33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'18_例と計算'!$B$18:$B$33</c:f>
              <c:numCache>
                <c:formatCode>General</c:formatCode>
                <c:ptCount val="16"/>
                <c:pt idx="0">
                  <c:v>650</c:v>
                </c:pt>
                <c:pt idx="1">
                  <c:v>850</c:v>
                </c:pt>
                <c:pt idx="2">
                  <c:v>1100</c:v>
                </c:pt>
                <c:pt idx="3">
                  <c:v>700</c:v>
                </c:pt>
                <c:pt idx="4">
                  <c:v>650</c:v>
                </c:pt>
                <c:pt idx="5">
                  <c:v>850</c:v>
                </c:pt>
                <c:pt idx="6">
                  <c:v>1100</c:v>
                </c:pt>
                <c:pt idx="7">
                  <c:v>700</c:v>
                </c:pt>
                <c:pt idx="8">
                  <c:v>650</c:v>
                </c:pt>
                <c:pt idx="9">
                  <c:v>850</c:v>
                </c:pt>
                <c:pt idx="10">
                  <c:v>1100</c:v>
                </c:pt>
                <c:pt idx="11">
                  <c:v>700</c:v>
                </c:pt>
                <c:pt idx="12">
                  <c:v>650</c:v>
                </c:pt>
                <c:pt idx="13">
                  <c:v>850</c:v>
                </c:pt>
                <c:pt idx="14">
                  <c:v>1100</c:v>
                </c:pt>
                <c:pt idx="15">
                  <c:v>700</c:v>
                </c:pt>
              </c:numCache>
            </c:numRef>
          </c:val>
        </c:ser>
        <c:ser>
          <c:idx val="1"/>
          <c:order val="1"/>
          <c:tx>
            <c:strRef>
              <c:f>'18_例と計算'!$C$17</c:f>
              <c:strCache>
                <c:ptCount val="1"/>
                <c:pt idx="0">
                  <c:v>底上がり（MiB）</c:v>
                </c:pt>
              </c:strCache>
            </c:strRef>
          </c:tx>
          <c:spPr>
            <a:ln w="28575">
              <a:solidFill>
                <a:srgbClr val="858585"/>
              </a:solidFill>
              <a:prstDash val="dash"/>
            </a:ln>
          </c:spPr>
          <c:marker>
            <c:symbol val="none"/>
          </c:marker>
          <c:cat>
            <c:numRef>
              <c:f>'18_例と計算'!$A$18:$A$33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'18_例と計算'!$C$18:$C$33</c:f>
              <c:numCache>
                <c:formatCode>General</c:formatCode>
                <c:ptCount val="16"/>
                <c:pt idx="0">
                  <c:v>650</c:v>
                </c:pt>
                <c:pt idx="1">
                  <c:v>920</c:v>
                </c:pt>
                <c:pt idx="2">
                  <c:v>1200</c:v>
                </c:pt>
                <c:pt idx="3">
                  <c:v>780</c:v>
                </c:pt>
                <c:pt idx="4">
                  <c:v>780</c:v>
                </c:pt>
                <c:pt idx="5">
                  <c:v>1050</c:v>
                </c:pt>
                <c:pt idx="6">
                  <c:v>1330</c:v>
                </c:pt>
                <c:pt idx="7">
                  <c:v>910</c:v>
                </c:pt>
                <c:pt idx="8">
                  <c:v>910</c:v>
                </c:pt>
                <c:pt idx="9">
                  <c:v>1180</c:v>
                </c:pt>
                <c:pt idx="10">
                  <c:v>1460</c:v>
                </c:pt>
                <c:pt idx="11">
                  <c:v>1040</c:v>
                </c:pt>
                <c:pt idx="12">
                  <c:v>1040</c:v>
                </c:pt>
                <c:pt idx="13">
                  <c:v>1310</c:v>
                </c:pt>
                <c:pt idx="14">
                  <c:v>1590</c:v>
                </c:pt>
                <c:pt idx="15">
                  <c:v>1170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baseline="0">
                    <a:latin typeface="Meiryo UI"/>
                  </a:defRPr>
                </a:pPr>
                <a:r>
                  <a:rPr lang="en-US" baseline="0">
                    <a:latin typeface="Meiryo UI"/>
                  </a:rPr>
                  <a:t>経過（分）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baseline="0">
                <a:latin typeface="Meiryo U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>
          <c:spPr>
            <a:ln>
              <a:solidFill>
                <a:srgbClr val="DDDDDD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aseline="0">
                    <a:latin typeface="Meiryo UI"/>
                  </a:defRPr>
                </a:pPr>
                <a:r>
                  <a:rPr lang="en-US" baseline="0">
                    <a:latin typeface="Meiryo UI"/>
                  </a:rPr>
                  <a:t>Heap Used（MiB）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baseline="0">
                <a:latin typeface="Meiryo UI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Meiryo U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aseline="0">
                <a:latin typeface="Meiryo UI"/>
              </a:defRPr>
            </a:pPr>
            <a:r>
              <a:rPr lang="en-US" sz="1300" baseline="0">
                <a:latin typeface="Meiryo UI"/>
              </a:rPr>
              <a:t>負荷とp95：架空例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p95（架空例）</c:v>
          </c:tx>
          <c:spPr>
            <a:ln w="25400">
              <a:solidFill>
                <a:srgbClr val="333333"/>
              </a:solidFill>
            </a:ln>
          </c:spPr>
          <c:marker>
            <c:symbol val="circle"/>
            <c:size val="5"/>
            <c:spPr>
              <a:solidFill>
                <a:srgbClr val="333333"/>
              </a:solidFill>
              <a:ln>
                <a:solidFill>
                  <a:srgbClr val="333333"/>
                </a:solidFill>
              </a:ln>
            </c:spPr>
          </c:marker>
          <c:xVal>
            <c:numRef>
              <c:f>'18_例と計算'!$A$39:$A$45</c:f>
              <c:numCache>
                <c:formatCode>General</c:formatCode>
                <c:ptCount val="7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</c:numCache>
            </c:numRef>
          </c:xVal>
          <c:yVal>
            <c:numRef>
              <c:f>'18_例と計算'!$C$39:$C$45</c:f>
              <c:numCache>
                <c:formatCode>General</c:formatCode>
                <c:ptCount val="7"/>
                <c:pt idx="0">
                  <c:v>110</c:v>
                </c:pt>
                <c:pt idx="1">
                  <c:v>125</c:v>
                </c:pt>
                <c:pt idx="2">
                  <c:v>145</c:v>
                </c:pt>
                <c:pt idx="3">
                  <c:v>190</c:v>
                </c:pt>
                <c:pt idx="4">
                  <c:v>330</c:v>
                </c:pt>
                <c:pt idx="5">
                  <c:v>800</c:v>
                </c:pt>
                <c:pt idx="6">
                  <c:v>1500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  <c:min val="0"/>
        </c:scaling>
        <c:axPos val="b"/>
        <c:title>
          <c:tx>
            <c:rich>
              <a:bodyPr/>
              <a:lstStyle/>
              <a:p>
                <a:pPr>
                  <a:defRPr baseline="0">
                    <a:latin typeface="Meiryo UI"/>
                  </a:defRPr>
                </a:pPr>
                <a:r>
                  <a:rPr lang="en-US" baseline="0">
                    <a:latin typeface="Meiryo UI"/>
                  </a:rPr>
                  <a:t>予定RPS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baseline="0">
                <a:latin typeface="Meiryo U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in val="0"/>
        </c:scaling>
        <c:axPos val="l"/>
        <c:majorGridlines>
          <c:spPr>
            <a:ln>
              <a:solidFill>
                <a:srgbClr val="DDDDDD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aseline="0">
                    <a:latin typeface="Meiryo UI"/>
                  </a:defRPr>
                </a:pPr>
                <a:r>
                  <a:rPr lang="en-US" baseline="0">
                    <a:latin typeface="Meiryo UI"/>
                  </a:rPr>
                  <a:t>p95（ms）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baseline="0">
                <a:latin typeface="Meiryo UI"/>
              </a:defRPr>
            </a:pPr>
            <a:endParaRPr lang="en-US"/>
          </a:p>
        </c:txPr>
        <c:crossAx val="50020001"/>
        <c:crosses val="autoZero"/>
        <c:crossBetween val="midCat"/>
      </c:valAx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5</xdr:col>
      <xdr:colOff>1381125</xdr:colOff>
      <xdr:row>30</xdr:row>
      <xdr:rowOff>182880</xdr:rowOff>
    </xdr:to>
    <xdr:pic>
      <xdr:nvPicPr>
        <xdr:cNvPr id="2" name="Picture 1" descr="実線のHTTP経路と監視データの転送は別。図のALB・DBは代表例であり、採用済みという意味ではない。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76450"/>
          <a:ext cx="10287000" cy="58978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5</xdr:col>
      <xdr:colOff>1381125</xdr:colOff>
      <xdr:row>65</xdr:row>
      <xdr:rowOff>182880</xdr:rowOff>
    </xdr:to>
    <xdr:pic>
      <xdr:nvPicPr>
        <xdr:cNvPr id="3" name="Picture 2" descr="task、container、JVM、heapは異なる境界。committed、RSS、予約量、cacheの扱いが違うので、単純な引き算だけでnative memoryを確定しない。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363200"/>
          <a:ext cx="10287000" cy="58978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5</xdr:col>
      <xdr:colOff>1381125</xdr:colOff>
      <xdr:row>100</xdr:row>
      <xdr:rowOff>182880</xdr:rowOff>
    </xdr:to>
    <xdr:pic>
      <xdr:nvPicPr>
        <xdr:cNvPr id="4" name="Picture 3" descr="架空例：client接続等30ms＋入口/配送20ms＋EAP540ms＋本文受信10ms＝Elapsed600ms。EAP540msの内訳は自処理80ms＋pool待ち100ms＋JDBC360ms。実際には区間の重なりや並行処理を考慮する。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8649950"/>
          <a:ext cx="10287000" cy="58978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16</xdr:row>
      <xdr:rowOff>0</xdr:rowOff>
    </xdr:from>
    <xdr:to>
      <xdr:col>6</xdr:col>
      <xdr:colOff>1257300</xdr:colOff>
      <xdr:row>27</xdr:row>
      <xdr:rowOff>295275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37</xdr:row>
      <xdr:rowOff>0</xdr:rowOff>
    </xdr:from>
    <xdr:to>
      <xdr:col>6</xdr:col>
      <xdr:colOff>1257300</xdr:colOff>
      <xdr:row>44</xdr:row>
      <xdr:rowOff>295275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Relationship Id="rId2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Relationship Id="rId2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.vml"/><Relationship Id="rId2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.vml"/><Relationship Id="rId2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1.vml"/><Relationship Id="rId2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2.vml"/><Relationship Id="rId2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3.vml"/><Relationship Id="rId2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4.vml"/><Relationship Id="rId2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5.vml"/><Relationship Id="rId2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6.vml"/><Relationship Id="rId2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7.vml"/><Relationship Id="rId2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8.vml"/><Relationship Id="rId2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9.vml"/><Relationship Id="rId2" Type="http://schemas.openxmlformats.org/officeDocument/2006/relationships/comments" Target="../comments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0.vml"/><Relationship Id="rId2" Type="http://schemas.openxmlformats.org/officeDocument/2006/relationships/comments" Target="../comments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aws.amazon.com/AmazonCloudWatch/latest/monitoring/AppSignals-MetricsCollected.html" TargetMode="External"/><Relationship Id="rId2" Type="http://schemas.openxmlformats.org/officeDocument/2006/relationships/hyperlink" Target="https://docs.aws.amazon.com/AmazonCloudWatch/latest/monitoring/CloudWatch-Application-Signals-Enable-ECSMain.html" TargetMode="External"/><Relationship Id="rId3" Type="http://schemas.openxmlformats.org/officeDocument/2006/relationships/hyperlink" Target="https://docs.aws.amazon.com/AmazonCloudWatch/latest/monitoring/CloudWatch-Application-Signals-ECS-Sidecar.html" TargetMode="External"/><Relationship Id="rId4" Type="http://schemas.openxmlformats.org/officeDocument/2006/relationships/hyperlink" Target="https://docs.aws.amazon.com/AmazonCloudWatch/latest/monitoring/CloudWatch-Application-Signals-supportmatrix.html" TargetMode="External"/><Relationship Id="rId5" Type="http://schemas.openxmlformats.org/officeDocument/2006/relationships/hyperlink" Target="https://docs.aws.amazon.com/AmazonCloudWatch/latest/monitoring/Container-Insights-enhanced-observability-metrics-ECS.html" TargetMode="External"/><Relationship Id="rId6" Type="http://schemas.openxmlformats.org/officeDocument/2006/relationships/hyperlink" Target="https://docs.aws.amazon.com/AmazonECS/latest/developerguide/cloudwatch-metrics.html" TargetMode="External"/><Relationship Id="rId7" Type="http://schemas.openxmlformats.org/officeDocument/2006/relationships/hyperlink" Target="https://docs.aws.amazon.com/AmazonECS/latest/developerguide/service_utilization.html" TargetMode="External"/><Relationship Id="rId8" Type="http://schemas.openxmlformats.org/officeDocument/2006/relationships/hyperlink" Target="https://docs.aws.amazon.com/AmazonCloudWatch/latest/monitoring/deploy-container-insights-ECS-cluster.html" TargetMode="External"/><Relationship Id="rId9" Type="http://schemas.openxmlformats.org/officeDocument/2006/relationships/hyperlink" Target="https://docs.aws.amazon.com/AmazonECS/latest/developerguide/cloudwatch-container-insights.html" TargetMode="External"/><Relationship Id="rId10" Type="http://schemas.openxmlformats.org/officeDocument/2006/relationships/hyperlink" Target="https://docs.aws.amazon.com/elasticloadbalancing/latest/application/load-balancer-cloudwatch-metrics.html" TargetMode="External"/><Relationship Id="rId11" Type="http://schemas.openxmlformats.org/officeDocument/2006/relationships/hyperlink" Target="https://docs.aws.amazon.com/elasticloadbalancing/latest/application/load-balancer-access-logs.html" TargetMode="External"/><Relationship Id="rId12" Type="http://schemas.openxmlformats.org/officeDocument/2006/relationships/hyperlink" Target="https://docs.aws.amazon.com/elasticloadbalancing/latest/application/load-balancer-request-tracing.html" TargetMode="External"/><Relationship Id="rId13" Type="http://schemas.openxmlformats.org/officeDocument/2006/relationships/hyperlink" Target="https://docs.aws.amazon.com/elasticloadbalancing/latest/application/load-balancer-cloudwatch-logs.html" TargetMode="External"/><Relationship Id="rId14" Type="http://schemas.openxmlformats.org/officeDocument/2006/relationships/hyperlink" Target="https://docs.aws.amazon.com/apigateway/latest/developerguide/api-gateway-metrics-and-dimensions.html" TargetMode="External"/><Relationship Id="rId15" Type="http://schemas.openxmlformats.org/officeDocument/2006/relationships/hyperlink" Target="https://docs.aws.amazon.com/apigateway/latest/developerguide/http-api-metrics.html" TargetMode="External"/><Relationship Id="rId16" Type="http://schemas.openxmlformats.org/officeDocument/2006/relationships/hyperlink" Target="https://docs.aws.amazon.com/apigateway/latest/developerguide/apigateway-xray.html" TargetMode="External"/><Relationship Id="rId17" Type="http://schemas.openxmlformats.org/officeDocument/2006/relationships/hyperlink" Target="https://docs.aws.amazon.com/AmazonRDS/latest/UserGuide/rds-metrics.html" TargetMode="External"/><Relationship Id="rId18" Type="http://schemas.openxmlformats.org/officeDocument/2006/relationships/hyperlink" Target="https://docs.aws.amazon.com/AmazonRDS/latest/AuroraUserGuide/Aurora.AuroraMonitoring.Metrics.html" TargetMode="External"/><Relationship Id="rId19" Type="http://schemas.openxmlformats.org/officeDocument/2006/relationships/hyperlink" Target="https://docs.aws.amazon.com/AmazonCloudWatch/latest/monitoring/Database-Insights.html" TargetMode="External"/><Relationship Id="rId20" Type="http://schemas.openxmlformats.org/officeDocument/2006/relationships/hyperlink" Target="https://docs.aws.amazon.com/AmazonCloudWatch/latest/monitoring/Database-Insights-Database-Instance-Dashboard.html" TargetMode="External"/><Relationship Id="rId21" Type="http://schemas.openxmlformats.org/officeDocument/2006/relationships/hyperlink" Target="https://docs.aws.amazon.com/AmazonRDS/latest/UserGuide/USER_Monitoring.OS.html" TargetMode="External"/><Relationship Id="rId22" Type="http://schemas.openxmlformats.org/officeDocument/2006/relationships/hyperlink" Target="https://docs.aws.amazon.com/AmazonRDS/latest/UserGuide/USER_PerfInsights.html" TargetMode="External"/><Relationship Id="rId23" Type="http://schemas.openxmlformats.org/officeDocument/2006/relationships/hyperlink" Target="https://docs.aws.amazon.com/AmazonRDS/latest/UserGuide/rds-proxy.monitoring.html" TargetMode="External"/><Relationship Id="rId24" Type="http://schemas.openxmlformats.org/officeDocument/2006/relationships/hyperlink" Target="https://docs.aws.amazon.com/AmazonElastiCache/latest/dg/CacheMetrics.Redis.html" TargetMode="External"/><Relationship Id="rId25" Type="http://schemas.openxmlformats.org/officeDocument/2006/relationships/hyperlink" Target="https://docs.aws.amazon.com/AmazonCloudFront/latest/DeveloperGuide/programming-cloudwatch-metrics.html" TargetMode="External"/><Relationship Id="rId26" Type="http://schemas.openxmlformats.org/officeDocument/2006/relationships/hyperlink" Target="https://docs.aws.amazon.com/waf/latest/developerguide/waf-metrics.html" TargetMode="External"/><Relationship Id="rId27" Type="http://schemas.openxmlformats.org/officeDocument/2006/relationships/hyperlink" Target="https://docs.aws.amazon.com/vpc/latest/userguide/metrics-dimensions-nat-gateway.html" TargetMode="External"/><Relationship Id="rId28" Type="http://schemas.openxmlformats.org/officeDocument/2006/relationships/hyperlink" Target="https://docs.aws.amazon.com/AWSSimpleQueueService/latest/SQSDeveloperGuide/sqs-available-cloudwatch-metrics.html" TargetMode="External"/><Relationship Id="rId29" Type="http://schemas.openxmlformats.org/officeDocument/2006/relationships/hyperlink" Target="https://docs.aws.amazon.com/lambda/latest/dg/monitoring-metrics-types.html" TargetMode="External"/><Relationship Id="rId30" Type="http://schemas.openxmlformats.org/officeDocument/2006/relationships/hyperlink" Target="https://docs.aws.amazon.com/amazondynamodb/latest/developerguide/metrics-dimensions.html" TargetMode="External"/><Relationship Id="rId31" Type="http://schemas.openxmlformats.org/officeDocument/2006/relationships/hyperlink" Target="https://docs.aws.amazon.com/AmazonS3/latest/userguide/metrics-dimensions.html" TargetMode="External"/><Relationship Id="rId32" Type="http://schemas.openxmlformats.org/officeDocument/2006/relationships/hyperlink" Target="https://docs.aws.amazon.com/efs/latest/ug/efs-metrics.html" TargetMode="External"/><Relationship Id="rId33" Type="http://schemas.openxmlformats.org/officeDocument/2006/relationships/hyperlink" Target="https://docs.aws.amazon.com/AmazonCloudWatch/latest/monitoring/cloudwatch_concepts.html" TargetMode="External"/><Relationship Id="rId34" Type="http://schemas.openxmlformats.org/officeDocument/2006/relationships/hyperlink" Target="https://docs.aws.amazon.com/AmazonCloudWatch/latest/logs/AnalyzingLogData.html" TargetMode="External"/><Relationship Id="rId35" Type="http://schemas.openxmlformats.org/officeDocument/2006/relationships/hyperlink" Target="https://docs.aws.amazon.com/AmazonCloudWatch/latest/logs/CWL_QuerySyntax-Stats.html" TargetMode="External"/><Relationship Id="rId36" Type="http://schemas.openxmlformats.org/officeDocument/2006/relationships/hyperlink" Target="https://docs.aws.amazon.com/AmazonCloudWatch/latest/monitoring/CloudWatch-Transaction-Search.html" TargetMode="External"/><Relationship Id="rId37" Type="http://schemas.openxmlformats.org/officeDocument/2006/relationships/hyperlink" Target="https://docs.aws.amazon.com/AmazonCloudWatch/latest/monitoring/Enable-TransactionSearch.html" TargetMode="External"/><Relationship Id="rId38" Type="http://schemas.openxmlformats.org/officeDocument/2006/relationships/hyperlink" Target="https://docs.aws.amazon.com/xray/latest/devguide/xray-sdk-daemon-timeline.html" TargetMode="External"/><Relationship Id="rId39" Type="http://schemas.openxmlformats.org/officeDocument/2006/relationships/hyperlink" Target="https://docs.aws.amazon.com/xray/latest/devguide/xray-sdk-migration.html" TargetMode="External"/><Relationship Id="rId40" Type="http://schemas.openxmlformats.org/officeDocument/2006/relationships/hyperlink" Target="https://github.com/open-telemetry/opentelemetry-java-instrumentation/blob/main/docs/supported-libraries.md" TargetMode="External"/><Relationship Id="rId41" Type="http://schemas.openxmlformats.org/officeDocument/2006/relationships/hyperlink" Target="https://docs.aws.amazon.com/AmazonCloudWatch/latest/monitoring/CloudWatch-Agent-JMX-metrics.html" TargetMode="External"/><Relationship Id="rId42" Type="http://schemas.openxmlformats.org/officeDocument/2006/relationships/hyperlink" Target="https://docs.aws.amazon.com/AmazonCloudWatch/latest/monitoring/ContainerInsights-Prometheus-Setup-ECS.html" TargetMode="External"/><Relationship Id="rId43" Type="http://schemas.openxmlformats.org/officeDocument/2006/relationships/hyperlink" Target="https://docs.aws.amazon.com/AmazonECS/latest/developerguide/application-metrics-prometheus.html" TargetMode="External"/><Relationship Id="rId44" Type="http://schemas.openxmlformats.org/officeDocument/2006/relationships/hyperlink" Target="https://prometheus.github.io/jmx_exporter/deployment/java-agent/" TargetMode="External"/><Relationship Id="rId45" Type="http://schemas.openxmlformats.org/officeDocument/2006/relationships/hyperlink" Target="https://access.redhat.com/articles/6961381" TargetMode="External"/><Relationship Id="rId46" Type="http://schemas.openxmlformats.org/officeDocument/2006/relationships/hyperlink" Target="https://docs.redhat.com/en/documentation/red_hat_jboss_enterprise_application_platform/8.1/html/release_notes_for_red_hat_jboss_enterprise_application_platform_8.1/supported-configurations-rn_assembly-release-notes" TargetMode="External"/><Relationship Id="rId47" Type="http://schemas.openxmlformats.org/officeDocument/2006/relationships/hyperlink" Target="https://docs.redhat.com/en/documentation/red_hat_jboss_enterprise_application_platform/8.1/html/performance_tuning_for_red_hat_jboss_enterprise_application_platform/assembly-monitoring-performance_performance-tuning-guide" TargetMode="External"/><Relationship Id="rId48" Type="http://schemas.openxmlformats.org/officeDocument/2006/relationships/hyperlink" Target="https://docs.redhat.com/en/documentation/red_hat_jboss_enterprise_application_platform/8.1/html/performance_tuning_for_red_hat_jboss_enterprise_application_platform/assembly-jvm-tuning_performance-tuning-guide" TargetMode="External"/><Relationship Id="rId49" Type="http://schemas.openxmlformats.org/officeDocument/2006/relationships/hyperlink" Target="https://docs.redhat.com/en/documentation/red_hat_jboss_enterprise_application_platform/8.1/html/performance_tuning_for_red_hat_jboss_enterprise_application_platform/assembly-datasource-resource-adapter-tuning_performance-tuning-guide" TargetMode="External"/><Relationship Id="rId50" Type="http://schemas.openxmlformats.org/officeDocument/2006/relationships/hyperlink" Target="https://docs.redhat.com/en/documentation/red_hat_jboss_enterprise_application_platform/8.1/html/configuration_guide/reference_material" TargetMode="External"/><Relationship Id="rId51" Type="http://schemas.openxmlformats.org/officeDocument/2006/relationships/hyperlink" Target="https://docs.redhat.com/en/documentation/red_hat_jboss_enterprise_application_platform/8.1/html/configuration_guide/datasource_management" TargetMode="External"/><Relationship Id="rId52" Type="http://schemas.openxmlformats.org/officeDocument/2006/relationships/hyperlink" Target="https://docs.redhat.com/en/documentation/red_hat_jboss_enterprise_application_platform/8.1/html/using_jboss_eap_xp_6.0/understand_microprofile" TargetMode="External"/><Relationship Id="rId53" Type="http://schemas.openxmlformats.org/officeDocument/2006/relationships/hyperlink" Target="https://docs.oracle.com/en/java/javase/21/docs/api/java.management/java/lang/management/MemoryUsage.html" TargetMode="External"/><Relationship Id="rId54" Type="http://schemas.openxmlformats.org/officeDocument/2006/relationships/hyperlink" Target="https://docs.oracle.com/en/java/javase/21/docs/api/java.management/java/lang/management/MemoryMXBean.html" TargetMode="External"/><Relationship Id="rId55" Type="http://schemas.openxmlformats.org/officeDocument/2006/relationships/hyperlink" Target="https://docs.oracle.com/en/java/javase/21/docs/api/java.management/java/lang/management/ThreadMXBean.html" TargetMode="External"/><Relationship Id="rId56" Type="http://schemas.openxmlformats.org/officeDocument/2006/relationships/hyperlink" Target="https://docs.oracle.com/en/java/javase/21/docs/specs/man/jcmd.html" TargetMode="External"/><Relationship Id="rId57" Type="http://schemas.openxmlformats.org/officeDocument/2006/relationships/hyperlink" Target="https://docs.oracle.com/en/java/javase/21/vm/native-memory-tracking.html" TargetMode="External"/><Relationship Id="rId58" Type="http://schemas.openxmlformats.org/officeDocument/2006/relationships/hyperlink" Target="https://docs.redhat.com/en/documentation/red_hat_build_of_openjdk/21/html/getting_started_with_red_hat_build_of_openjdk_21/openjdk-distribution-selection" TargetMode="External"/><Relationship Id="rId59" Type="http://schemas.openxmlformats.org/officeDocument/2006/relationships/hyperlink" Target="https://jmeter.apache.org/usermanual/glossary.html" TargetMode="External"/><Relationship Id="rId60" Type="http://schemas.openxmlformats.org/officeDocument/2006/relationships/hyperlink" Target="https://jmeter.apache.org/usermanual/best-practices.html" TargetMode="External"/><Relationship Id="rId61" Type="http://schemas.openxmlformats.org/officeDocument/2006/relationships/hyperlink" Target="https://docs.aws.amazon.com/AmazonECS/latest/developerguide/ecs-exec.html" TargetMode="External"/><Relationship Id="rId62" Type="http://schemas.openxmlformats.org/officeDocument/2006/relationships/hyperlink" Target="https://docs.aws.amazon.com/AmazonECS/latest/developerguide/using_awslogs.html" TargetMode="External"/><Relationship Id="rId63" Type="http://schemas.openxmlformats.org/officeDocument/2006/relationships/hyperlink" Target="https://docs.aws.amazon.com/AmazonCloudWatch/latest/monitoring/CloudWatch_Embedded_Metric_Format.html" TargetMode="External"/><Relationship Id="rId64" Type="http://schemas.openxmlformats.org/officeDocument/2006/relationships/hyperlink" Target="https://aws.amazon.com/cloudwatch/pricing/" TargetMode="External"/><Relationship Id="rId65" Type="http://schemas.openxmlformats.org/officeDocument/2006/relationships/hyperlink" Target="https://aws.amazon.com/blogs/aws/new-aws-load-balancing-automatic-scaling-and-cloud-monitoring-services/" TargetMode="External"/><Relationship Id="rId66" Type="http://schemas.openxmlformats.org/officeDocument/2006/relationships/hyperlink" Target="https://aws.amazon.com/about-aws/whats-new/2014/07/10/introducing-amazon-cloudwatch-logs/" TargetMode="External"/><Relationship Id="rId67" Type="http://schemas.openxmlformats.org/officeDocument/2006/relationships/hyperlink" Target="https://aws.amazon.com/about-aws/whats-new/2017/04/aws-x-ray-now-generally-available/" TargetMode="External"/><Relationship Id="rId68" Type="http://schemas.openxmlformats.org/officeDocument/2006/relationships/hyperlink" Target="https://aws.amazon.com/about-aws/whats-new/2017/11/introducing-aws-fargate-a-technology-to-run-containers-without-managing-infrastructure/" TargetMode="External"/><Relationship Id="rId69" Type="http://schemas.openxmlformats.org/officeDocument/2006/relationships/hyperlink" Target="https://aws.amazon.com/about-aws/whats-new/2017/12/amazon-cloudwatch-introduces-a-new-cloudwatch-agent-with-aws-systems-manager-integration-for-unified-metrics-and-logs-collection/" TargetMode="External"/><Relationship Id="rId70" Type="http://schemas.openxmlformats.org/officeDocument/2006/relationships/hyperlink" Target="https://aws.amazon.com/about-aws/whats-new/2018/11/announcing-amazon-cloudwatch-logs-insights-fast-interactive-log-analytics/" TargetMode="External"/><Relationship Id="rId71" Type="http://schemas.openxmlformats.org/officeDocument/2006/relationships/hyperlink" Target="https://aws.amazon.com/about-aws/whats-new/2019/08/container-monitoring-for-amazon-ecs-eks-and-kubernetes-is-now-available-in-amazon-cloudwatch/" TargetMode="External"/><Relationship Id="rId72" Type="http://schemas.openxmlformats.org/officeDocument/2006/relationships/hyperlink" Target="https://www.cncf.io/blog/2019/05/21/a-brief-history-of-opentelemetry-so-far/" TargetMode="External"/><Relationship Id="rId73" Type="http://schemas.openxmlformats.org/officeDocument/2006/relationships/hyperlink" Target="https://aws.amazon.com/about-aws/whats-new/2020/04/amazon-cloudwatch-synthetics-generally-available/" TargetMode="External"/><Relationship Id="rId74" Type="http://schemas.openxmlformats.org/officeDocument/2006/relationships/hyperlink" Target="https://aws.amazon.com/about-aws/whats-new/2020/10/announcing-aws-distro-for-opentelemetry-in-preview/" TargetMode="External"/><Relationship Id="rId75" Type="http://schemas.openxmlformats.org/officeDocument/2006/relationships/hyperlink" Target="https://aws.amazon.com/blogs/aws/amazon-managed-grafana-is-now-generally-available-with-many-new-features/" TargetMode="External"/><Relationship Id="rId76" Type="http://schemas.openxmlformats.org/officeDocument/2006/relationships/hyperlink" Target="https://press.aboutamazon.com/2021/9/aws-announces-general-availability-of-amazon-managed-service-for-prometheus" TargetMode="External"/><Relationship Id="rId77" Type="http://schemas.openxmlformats.org/officeDocument/2006/relationships/hyperlink" Target="https://aws.amazon.com/blogs/aws/cloudwatch-rum/" TargetMode="External"/><Relationship Id="rId78" Type="http://schemas.openxmlformats.org/officeDocument/2006/relationships/hyperlink" Target="https://aws.amazon.com/about-aws/whats-new/2024/06/amazon-cloudwatch-application-signals-application-monitoring/" TargetMode="External"/><Relationship Id="rId79" Type="http://schemas.openxmlformats.org/officeDocument/2006/relationships/hyperlink" Target="https://aws.amazon.com/about-aws/whats-new/2024/11/amazon-cloudwatch-visibility-application-transactions/" TargetMode="External"/><Relationship Id="rId80" Type="http://schemas.openxmlformats.org/officeDocument/2006/relationships/hyperlink" Target="https://aws.amazon.com/about-aws/whats-new/2024/12/amazon-cloudwatch-database-insights/" TargetMode="External"/><Relationship Id="rId81" Type="http://schemas.openxmlformats.org/officeDocument/2006/relationships/hyperlink" Target="https://aws.amazon.com/about-aws/whats-new/2026/06/amazon-ecs-faster-autoscaling/" TargetMode="External"/><Relationship Id="rId82" Type="http://schemas.openxmlformats.org/officeDocument/2006/relationships/hyperlink" Target="https://aws.amazon.com/about-aws/whats-new/2026/07/amazon-cloudwatch-logs/" TargetMode="External"/><Relationship Id="rId83" Type="http://schemas.openxmlformats.org/officeDocument/2006/relationships/hyperlink" Target="https://www.cncf.io/announcements/2026/05/21/cloud-native-computing-foundation-announces-opentelemetrys-graduation-solidifying-status-as-the-de-facto-observability-standar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77777"/>
    <pageSetUpPr fitToPage="1"/>
  </sheetPr>
  <dimension ref="A1:C36"/>
  <sheetViews>
    <sheetView showGridLines="0" tabSelected="1" zoomScale="85" zoomScaleNormal="85" workbookViewId="0">
      <pane ySplit="5" topLeftCell="A6" activePane="bottomLeft" state="frozen"/>
      <selection pane="bottomLeft"/>
    </sheetView>
  </sheetViews>
  <sheetFormatPr defaultRowHeight="22" customHeight="1"/>
  <cols>
    <col min="1" max="1" width="30.7109375" style="1" customWidth="1"/>
    <col min="2" max="2" width="102.7109375" style="1" customWidth="1"/>
    <col min="3" max="3" width="15.7109375" style="1" customWidth="1"/>
  </cols>
  <sheetData>
    <row r="1" spans="1:3" ht="58" customHeight="1">
      <c r="A1" s="2" t="s">
        <v>1305</v>
      </c>
      <c r="B1" s="2"/>
      <c r="C1" s="2"/>
    </row>
    <row r="2" spans="1:3" ht="25" customHeight="1">
      <c r="A2" s="3" t="s">
        <v>1</v>
      </c>
      <c r="B2" s="3"/>
      <c r="C2" s="3"/>
    </row>
    <row r="3" spans="1:3" ht="48" customHeight="1">
      <c r="A3" s="4" t="s">
        <v>1306</v>
      </c>
      <c r="B3" s="4"/>
      <c r="C3" s="4"/>
    </row>
    <row r="4" spans="1:3" ht="23" customHeight="1">
      <c r="A4" s="5" t="s">
        <v>3</v>
      </c>
    </row>
    <row r="5" spans="1:3" ht="22" customHeight="1">
      <c r="A5" s="6" t="s">
        <v>1307</v>
      </c>
      <c r="B5" s="6" t="s">
        <v>1308</v>
      </c>
      <c r="C5" s="6" t="s">
        <v>8</v>
      </c>
    </row>
    <row r="6" spans="1:3" ht="60" customHeight="1">
      <c r="A6" s="7" t="s">
        <v>1309</v>
      </c>
      <c r="B6" s="1" t="s">
        <v>1310</v>
      </c>
      <c r="C6" s="1" t="s">
        <v>1311</v>
      </c>
    </row>
    <row r="7" spans="1:3" ht="60" customHeight="1">
      <c r="A7" s="8" t="s">
        <v>1312</v>
      </c>
      <c r="B7" s="9" t="s">
        <v>1313</v>
      </c>
      <c r="C7" s="9" t="s">
        <v>1314</v>
      </c>
    </row>
    <row r="8" spans="1:3" ht="60" customHeight="1">
      <c r="A8" s="7" t="s">
        <v>1315</v>
      </c>
      <c r="B8" s="1" t="s">
        <v>1316</v>
      </c>
      <c r="C8" s="1" t="s">
        <v>631</v>
      </c>
    </row>
    <row r="9" spans="1:3" ht="60" customHeight="1">
      <c r="A9" s="8" t="s">
        <v>1317</v>
      </c>
      <c r="B9" s="9" t="s">
        <v>1318</v>
      </c>
      <c r="C9" s="9" t="s">
        <v>1319</v>
      </c>
    </row>
    <row r="10" spans="1:3" ht="60" customHeight="1">
      <c r="A10" s="7" t="s">
        <v>1320</v>
      </c>
      <c r="B10" s="1" t="s">
        <v>1321</v>
      </c>
      <c r="C10" s="1" t="s">
        <v>13</v>
      </c>
    </row>
    <row r="11" spans="1:3" ht="60" customHeight="1">
      <c r="A11" s="8" t="s">
        <v>1322</v>
      </c>
      <c r="B11" s="9" t="s">
        <v>1323</v>
      </c>
      <c r="C11" s="9" t="s">
        <v>1324</v>
      </c>
    </row>
    <row r="12" spans="1:3" ht="60" customHeight="1">
      <c r="A12" s="7" t="s">
        <v>1325</v>
      </c>
      <c r="B12" s="1" t="s">
        <v>1326</v>
      </c>
      <c r="C12" s="1" t="s">
        <v>13</v>
      </c>
    </row>
    <row r="14" spans="1:3" ht="22" customHeight="1">
      <c r="A14" s="6" t="s">
        <v>1327</v>
      </c>
      <c r="B14" s="6"/>
      <c r="C14" s="6"/>
    </row>
    <row r="15" spans="1:3" ht="33" customHeight="1">
      <c r="A15" s="5" t="s">
        <v>1328</v>
      </c>
      <c r="B15" s="1" t="s">
        <v>1329</v>
      </c>
      <c r="C15" s="1" t="s">
        <v>1330</v>
      </c>
    </row>
    <row r="16" spans="1:3" ht="33" customHeight="1">
      <c r="A16" s="5" t="s">
        <v>1331</v>
      </c>
      <c r="B16" s="9" t="s">
        <v>0</v>
      </c>
      <c r="C16" s="9" t="s">
        <v>1330</v>
      </c>
    </row>
    <row r="17" spans="1:3" ht="33" customHeight="1">
      <c r="A17" s="5" t="s">
        <v>1332</v>
      </c>
      <c r="B17" s="1" t="s">
        <v>88</v>
      </c>
      <c r="C17" s="1" t="s">
        <v>1330</v>
      </c>
    </row>
    <row r="18" spans="1:3" ht="33" customHeight="1">
      <c r="A18" s="5" t="s">
        <v>1333</v>
      </c>
      <c r="B18" s="9" t="s">
        <v>198</v>
      </c>
      <c r="C18" s="9" t="s">
        <v>1330</v>
      </c>
    </row>
    <row r="19" spans="1:3" ht="33" customHeight="1">
      <c r="A19" s="5" t="s">
        <v>1334</v>
      </c>
      <c r="B19" s="1" t="s">
        <v>272</v>
      </c>
      <c r="C19" s="1" t="s">
        <v>1330</v>
      </c>
    </row>
    <row r="20" spans="1:3" ht="33" customHeight="1">
      <c r="A20" s="5" t="s">
        <v>1335</v>
      </c>
      <c r="B20" s="9" t="s">
        <v>357</v>
      </c>
      <c r="C20" s="9" t="s">
        <v>1330</v>
      </c>
    </row>
    <row r="21" spans="1:3" ht="33" customHeight="1">
      <c r="A21" s="5" t="s">
        <v>1336</v>
      </c>
      <c r="B21" s="1" t="s">
        <v>432</v>
      </c>
      <c r="C21" s="1" t="s">
        <v>1330</v>
      </c>
    </row>
    <row r="22" spans="1:3" ht="33" customHeight="1">
      <c r="A22" s="5" t="s">
        <v>1337</v>
      </c>
      <c r="B22" s="9" t="s">
        <v>528</v>
      </c>
      <c r="C22" s="9" t="s">
        <v>1330</v>
      </c>
    </row>
    <row r="23" spans="1:3" ht="33" customHeight="1">
      <c r="A23" s="5" t="s">
        <v>1338</v>
      </c>
      <c r="B23" s="1" t="s">
        <v>625</v>
      </c>
      <c r="C23" s="1" t="s">
        <v>1330</v>
      </c>
    </row>
    <row r="24" spans="1:3" ht="33" customHeight="1">
      <c r="A24" s="5" t="s">
        <v>1339</v>
      </c>
      <c r="B24" s="9" t="s">
        <v>716</v>
      </c>
      <c r="C24" s="9" t="s">
        <v>1330</v>
      </c>
    </row>
    <row r="25" spans="1:3" ht="33" customHeight="1">
      <c r="A25" s="5" t="s">
        <v>1340</v>
      </c>
      <c r="B25" s="1" t="s">
        <v>774</v>
      </c>
      <c r="C25" s="1" t="s">
        <v>1330</v>
      </c>
    </row>
    <row r="26" spans="1:3" ht="33" customHeight="1">
      <c r="A26" s="5" t="s">
        <v>1341</v>
      </c>
      <c r="B26" s="9" t="s">
        <v>1342</v>
      </c>
      <c r="C26" s="9" t="s">
        <v>1330</v>
      </c>
    </row>
    <row r="27" spans="1:3" ht="33" customHeight="1">
      <c r="A27" s="5" t="s">
        <v>1343</v>
      </c>
      <c r="B27" s="1" t="s">
        <v>849</v>
      </c>
      <c r="C27" s="1" t="s">
        <v>1330</v>
      </c>
    </row>
    <row r="28" spans="1:3" ht="33" customHeight="1">
      <c r="A28" s="5" t="s">
        <v>1344</v>
      </c>
      <c r="B28" s="9" t="s">
        <v>907</v>
      </c>
      <c r="C28" s="9" t="s">
        <v>1330</v>
      </c>
    </row>
    <row r="29" spans="1:3" ht="33" customHeight="1">
      <c r="A29" s="5" t="s">
        <v>1345</v>
      </c>
      <c r="B29" s="1" t="s">
        <v>967</v>
      </c>
      <c r="C29" s="1" t="s">
        <v>1330</v>
      </c>
    </row>
    <row r="30" spans="1:3" ht="33" customHeight="1">
      <c r="A30" s="5" t="s">
        <v>1346</v>
      </c>
      <c r="B30" s="9" t="s">
        <v>1043</v>
      </c>
      <c r="C30" s="9" t="s">
        <v>1330</v>
      </c>
    </row>
    <row r="31" spans="1:3" ht="33" customHeight="1">
      <c r="A31" s="5" t="s">
        <v>1347</v>
      </c>
      <c r="B31" s="1" t="s">
        <v>1115</v>
      </c>
      <c r="C31" s="1" t="s">
        <v>1330</v>
      </c>
    </row>
    <row r="32" spans="1:3" ht="33" customHeight="1">
      <c r="A32" s="5" t="s">
        <v>1348</v>
      </c>
      <c r="B32" s="9" t="s">
        <v>1349</v>
      </c>
      <c r="C32" s="9" t="s">
        <v>1330</v>
      </c>
    </row>
    <row r="33" spans="1:3" ht="33" customHeight="1">
      <c r="A33" s="5" t="s">
        <v>1350</v>
      </c>
      <c r="B33" s="1" t="s">
        <v>1177</v>
      </c>
      <c r="C33" s="1" t="s">
        <v>1330</v>
      </c>
    </row>
    <row r="34" spans="1:3" ht="33" customHeight="1">
      <c r="A34" s="5" t="s">
        <v>1351</v>
      </c>
      <c r="B34" s="9" t="s">
        <v>1229</v>
      </c>
      <c r="C34" s="9" t="s">
        <v>1330</v>
      </c>
    </row>
    <row r="35" spans="1:3" ht="33" customHeight="1">
      <c r="A35" s="5" t="s">
        <v>1352</v>
      </c>
      <c r="B35" s="1" t="s">
        <v>1353</v>
      </c>
      <c r="C35" s="1" t="s">
        <v>1330</v>
      </c>
    </row>
    <row r="36" spans="1:3" ht="33" customHeight="1">
      <c r="A36" s="5" t="s">
        <v>1354</v>
      </c>
      <c r="B36" s="9" t="s">
        <v>1355</v>
      </c>
      <c r="C36" s="9" t="s">
        <v>1330</v>
      </c>
    </row>
  </sheetData>
  <mergeCells count="4">
    <mergeCell ref="A1:C1"/>
    <mergeCell ref="A2:C2"/>
    <mergeCell ref="A3:C3"/>
    <mergeCell ref="A14:C14"/>
  </mergeCells>
  <hyperlinks>
    <hyperlink ref="A4" location="'00_案内'!A1" display="← 目次"/>
    <hyperlink ref="C6" location="'22_出典'!A50" display="S45 S46"/>
    <hyperlink ref="C7" location="'22_出典'!A6" display="S01 S05 S06 S53"/>
    <hyperlink ref="C8" location="'22_出典'!A10" display="S05 S53 S54"/>
    <hyperlink ref="C9" location="'22_出典'!A6" display="S01 S19 S34 S36 S59"/>
    <hyperlink ref="C11" location="'22_出典'!A9" display="S04 S40 S45 S46"/>
    <hyperlink ref="A15" location="'01_図解'!A1" display="01_図解"/>
    <hyperlink ref="A16" location="'02_基礎'!A1" display="02_基礎"/>
    <hyperlink ref="A17" location="'03_歴史'!A1" display="03_歴史"/>
    <hyperlink ref="A18" location="'04_サービス'!A1" display="04_サービス"/>
    <hyperlink ref="A19" location="'05_入口指標'!A1" display="05_入口指標"/>
    <hyperlink ref="A20" location="'06_ECS指標'!A1" display="06_ECS指標"/>
    <hyperlink ref="A21" location="'07_DB依存指標'!A1" display="07_DB依存指標"/>
    <hyperlink ref="A22" location="'08_JVM指標'!A1" display="08_JVM指標"/>
    <hyperlink ref="A23" location="'09_メモリ深掘り'!A1" display="09_メモリ深掘り"/>
    <hyperlink ref="A24" location="'10_EAP内部'!A1" display="10_EAP内部"/>
    <hyperlink ref="A25" location="'11_収集設定'!A1" display="11_収集設定"/>
    <hyperlink ref="A26" location="'12_設定例'!A1" display="12_設定例"/>
    <hyperlink ref="A27" location="'13_トレース'!A1" display="13_トレース"/>
    <hyperlink ref="A28" location="'14_JMeter'!A1" display="14_JMeter"/>
    <hyperlink ref="A29" location="'15_テスト手順'!A1" display="15_テスト手順"/>
    <hyperlink ref="A30" location="'16_障害切分'!A1" display="16_障害切分"/>
    <hyperlink ref="A31" location="'17_ダッシュボード'!A1" display="17_ダッシュボード"/>
    <hyperlink ref="A32" location="'18_例と計算'!A1" display="18_例と計算"/>
    <hyperlink ref="A33" location="'19_注意と費用'!A1" display="19_注意と費用"/>
    <hyperlink ref="A34" location="'20_FAQ'!A1" display="20_FAQ"/>
    <hyperlink ref="A35" location="'21_実行チェック'!A1" display="21_実行チェック"/>
    <hyperlink ref="A36" location="'22_出典'!A1" display="22_出典"/>
  </hyperlinks>
  <pageMargins left="0.28" right="0.28" top="0.4" bottom="0.4" header="0.3" footer="0.3"/>
  <pageSetup paperSize="8" fitToHeight="0" orientation="landscape"/>
  <headerFooter>
    <oddHeader>&amp;L&amp;"Meiryo UI,Regular"&amp;9 AWS / JMeter / EAP 8.1 &amp;R2026-10-02</oddHeader>
    <oddFooter>&amp;L&amp;"Meiryo UI,Regular"&amp;8 公式資料の確認日を基準に記述　&amp;R&amp;P / 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77777"/>
    <pageSetUpPr fitToPage="1"/>
  </sheetPr>
  <dimension ref="A1:F108"/>
  <sheetViews>
    <sheetView showGridLines="0" zoomScale="85" zoomScaleNormal="85" workbookViewId="0">
      <pane ySplit="4" topLeftCell="A5" activePane="bottomLeft" state="frozen"/>
      <selection pane="bottomLeft"/>
    </sheetView>
  </sheetViews>
  <sheetFormatPr defaultRowHeight="22" customHeight="1"/>
  <cols>
    <col min="1" max="6" width="26.7109375" style="1" customWidth="1"/>
  </cols>
  <sheetData>
    <row r="1" spans="1:6" ht="47" customHeight="1">
      <c r="A1" s="2" t="s">
        <v>1356</v>
      </c>
      <c r="B1" s="2"/>
      <c r="C1" s="2"/>
      <c r="D1" s="2"/>
      <c r="E1" s="2"/>
      <c r="F1" s="2"/>
    </row>
    <row r="2" spans="1:6" ht="25" customHeight="1">
      <c r="A2" s="3" t="s">
        <v>1</v>
      </c>
      <c r="B2" s="3"/>
      <c r="C2" s="3"/>
      <c r="D2" s="3"/>
      <c r="E2" s="3"/>
      <c r="F2" s="3"/>
    </row>
    <row r="3" spans="1:6" ht="48" customHeight="1">
      <c r="A3" s="4" t="s">
        <v>1357</v>
      </c>
      <c r="B3" s="4"/>
      <c r="C3" s="4"/>
      <c r="D3" s="4"/>
      <c r="E3" s="4"/>
      <c r="F3" s="4"/>
    </row>
    <row r="4" spans="1:6" ht="23" customHeight="1">
      <c r="A4" s="5" t="s">
        <v>3</v>
      </c>
    </row>
    <row r="6" spans="1:6" ht="18" customHeight="1"/>
    <row r="7" spans="1:6" ht="18" customHeight="1"/>
    <row r="8" spans="1:6" ht="18" customHeight="1"/>
    <row r="9" spans="1:6" ht="18" customHeight="1"/>
    <row r="10" spans="1:6" ht="18" customHeight="1"/>
    <row r="11" spans="1:6" ht="18" customHeight="1"/>
    <row r="12" spans="1:6" ht="18" customHeight="1"/>
    <row r="13" spans="1:6" ht="18" customHeight="1"/>
    <row r="14" spans="1:6" ht="18" customHeight="1"/>
    <row r="15" spans="1:6" ht="18" customHeight="1"/>
    <row r="16" spans="1: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spans="1:6" ht="18" customHeight="1"/>
    <row r="34" spans="1:6" ht="18" customHeight="1"/>
    <row r="36" spans="1:6" ht="22" customHeight="1">
      <c r="A36" s="4" t="s">
        <v>1358</v>
      </c>
      <c r="B36" s="4"/>
      <c r="C36" s="4"/>
      <c r="D36" s="4"/>
      <c r="E36" s="4"/>
      <c r="F36" s="5" t="s">
        <v>1359</v>
      </c>
    </row>
    <row r="37" spans="1:6" ht="22" customHeight="1">
      <c r="A37" s="4"/>
      <c r="B37" s="4"/>
      <c r="C37" s="4"/>
      <c r="D37" s="4"/>
      <c r="E37" s="4"/>
    </row>
    <row r="38" spans="1:6" ht="22" customHeight="1">
      <c r="A38" s="4"/>
      <c r="B38" s="4"/>
      <c r="C38" s="4"/>
      <c r="D38" s="4"/>
      <c r="E38" s="4"/>
    </row>
    <row r="41" spans="1:6" ht="18" customHeight="1"/>
    <row r="42" spans="1:6" ht="18" customHeight="1"/>
    <row r="43" spans="1:6" ht="18" customHeight="1"/>
    <row r="44" spans="1:6" ht="18" customHeight="1"/>
    <row r="45" spans="1:6" ht="18" customHeight="1"/>
    <row r="46" spans="1:6" ht="18" customHeight="1"/>
    <row r="47" spans="1:6" ht="18" customHeight="1"/>
    <row r="48" spans="1:6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spans="1:6" ht="18" customHeight="1"/>
    <row r="66" spans="1:6" ht="18" customHeight="1"/>
    <row r="67" spans="1:6" ht="18" customHeight="1"/>
    <row r="68" spans="1:6" ht="18" customHeight="1"/>
    <row r="69" spans="1:6" ht="18" customHeight="1"/>
    <row r="71" spans="1:6" ht="22" customHeight="1">
      <c r="A71" s="4" t="s">
        <v>1360</v>
      </c>
      <c r="B71" s="4"/>
      <c r="C71" s="4"/>
      <c r="D71" s="4"/>
      <c r="E71" s="4"/>
      <c r="F71" s="5" t="s">
        <v>1361</v>
      </c>
    </row>
    <row r="72" spans="1:6" ht="22" customHeight="1">
      <c r="A72" s="4"/>
      <c r="B72" s="4"/>
      <c r="C72" s="4"/>
      <c r="D72" s="4"/>
      <c r="E72" s="4"/>
    </row>
    <row r="73" spans="1:6" ht="22" customHeight="1">
      <c r="A73" s="4"/>
      <c r="B73" s="4"/>
      <c r="C73" s="4"/>
      <c r="D73" s="4"/>
      <c r="E73" s="4"/>
    </row>
    <row r="76" spans="1:6" ht="18" customHeight="1"/>
    <row r="77" spans="1:6" ht="18" customHeight="1"/>
    <row r="78" spans="1:6" ht="18" customHeight="1"/>
    <row r="79" spans="1:6" ht="18" customHeight="1"/>
    <row r="80" spans="1:6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spans="1:6" ht="18" customHeight="1"/>
    <row r="98" spans="1:6" ht="18" customHeight="1"/>
    <row r="99" spans="1:6" ht="18" customHeight="1"/>
    <row r="100" spans="1:6" ht="18" customHeight="1"/>
    <row r="101" spans="1:6" ht="18" customHeight="1"/>
    <row r="102" spans="1:6" ht="18" customHeight="1"/>
    <row r="103" spans="1:6" ht="18" customHeight="1"/>
    <row r="104" spans="1:6" ht="18" customHeight="1"/>
    <row r="106" spans="1:6" ht="22" customHeight="1">
      <c r="A106" s="4" t="s">
        <v>1362</v>
      </c>
      <c r="B106" s="4"/>
      <c r="C106" s="4"/>
      <c r="D106" s="4"/>
      <c r="E106" s="4"/>
      <c r="F106" s="5" t="s">
        <v>1363</v>
      </c>
    </row>
    <row r="107" spans="1:6" ht="22" customHeight="1">
      <c r="A107" s="4"/>
      <c r="B107" s="4"/>
      <c r="C107" s="4"/>
      <c r="D107" s="4"/>
      <c r="E107" s="4"/>
    </row>
    <row r="108" spans="1:6" ht="22" customHeight="1">
      <c r="A108" s="4"/>
      <c r="B108" s="4"/>
      <c r="C108" s="4"/>
      <c r="D108" s="4"/>
      <c r="E108" s="4"/>
    </row>
  </sheetData>
  <mergeCells count="6">
    <mergeCell ref="A1:F1"/>
    <mergeCell ref="A2:F2"/>
    <mergeCell ref="A3:F3"/>
    <mergeCell ref="A36:E38"/>
    <mergeCell ref="A71:E73"/>
    <mergeCell ref="A106:E108"/>
  </mergeCells>
  <hyperlinks>
    <hyperlink ref="A4" location="'00_案内'!A1" display="← 目次"/>
    <hyperlink ref="F36" location="'22_出典'!A7" display="S02 S03 S05 S19 S36"/>
    <hyperlink ref="F71" location="'22_出典'!A10" display="S05 S53 S54 S57"/>
    <hyperlink ref="F106" location="'22_出典'!A15" display="S10 S11 S36 S59"/>
  </hyperlinks>
  <pageMargins left="0.28" right="0.28" top="0.4" bottom="0.4" header="0.3" footer="0.3"/>
  <pageSetup paperSize="8" fitToHeight="0" orientation="landscape"/>
  <headerFooter>
    <oddHeader>&amp;L&amp;"Meiryo UI,Regular"&amp;9 AWS / JMeter / EAP 8.1 &amp;R2026-10-02</oddHeader>
    <oddFooter>&amp;L&amp;"Meiryo UI,Regular"&amp;8 公式資料の確認日を基準に記述　&amp;R&amp;P / &amp;N</oddFooter>
  </headerFooter>
  <rowBreaks count="2" manualBreakCount="2">
    <brk id="40" max="16383" man="1"/>
    <brk id="75" max="16383" man="1"/>
  </rowBreaks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77777"/>
    <pageSetUpPr fitToPage="1"/>
  </sheetPr>
  <dimension ref="A1:E21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2" customHeight="1"/>
  <cols>
    <col min="1" max="1" width="25.7109375" style="1" customWidth="1"/>
    <col min="2" max="2" width="37.7109375" style="1" customWidth="1"/>
    <col min="3" max="3" width="49.7109375" style="1" customWidth="1"/>
    <col min="4" max="4" width="47.7109375" style="1" customWidth="1"/>
    <col min="5" max="5" width="12.7109375" style="1" customWidth="1"/>
  </cols>
  <sheetData>
    <row r="1" spans="1:5" ht="47" customHeight="1">
      <c r="A1" s="2" t="s">
        <v>0</v>
      </c>
      <c r="B1" s="2"/>
      <c r="C1" s="2"/>
      <c r="D1" s="2"/>
      <c r="E1" s="2"/>
    </row>
    <row r="2" spans="1:5" ht="25" customHeight="1">
      <c r="A2" s="3" t="s">
        <v>1</v>
      </c>
      <c r="B2" s="3"/>
      <c r="C2" s="3"/>
      <c r="D2" s="3"/>
      <c r="E2" s="3"/>
    </row>
    <row r="3" spans="1:5" ht="48" customHeight="1">
      <c r="A3" s="4" t="s">
        <v>2</v>
      </c>
      <c r="B3" s="4"/>
      <c r="C3" s="4"/>
      <c r="D3" s="4"/>
      <c r="E3" s="4"/>
    </row>
    <row r="4" spans="1:5" ht="23" customHeight="1">
      <c r="A4" s="5" t="s">
        <v>3</v>
      </c>
    </row>
    <row r="5" spans="1:5" ht="35" customHeight="1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</row>
    <row r="6" spans="1:5" ht="58.2" customHeight="1">
      <c r="A6" s="7" t="s">
        <v>9</v>
      </c>
      <c r="B6" s="1" t="s">
        <v>10</v>
      </c>
      <c r="C6" s="1" t="s">
        <v>11</v>
      </c>
      <c r="D6" s="1" t="s">
        <v>12</v>
      </c>
      <c r="E6" s="1" t="s">
        <v>13</v>
      </c>
    </row>
    <row r="7" spans="1:5" ht="58.2" customHeight="1">
      <c r="A7" s="8" t="s">
        <v>14</v>
      </c>
      <c r="B7" s="9" t="s">
        <v>15</v>
      </c>
      <c r="C7" s="9" t="s">
        <v>16</v>
      </c>
      <c r="D7" s="9" t="s">
        <v>17</v>
      </c>
      <c r="E7" s="9" t="s">
        <v>18</v>
      </c>
    </row>
    <row r="8" spans="1:5" ht="58.2" customHeight="1">
      <c r="A8" s="7" t="s">
        <v>19</v>
      </c>
      <c r="B8" s="1" t="s">
        <v>20</v>
      </c>
      <c r="C8" s="1" t="s">
        <v>21</v>
      </c>
      <c r="D8" s="1" t="s">
        <v>22</v>
      </c>
      <c r="E8" s="1" t="s">
        <v>23</v>
      </c>
    </row>
    <row r="9" spans="1:5" ht="44" customHeight="1">
      <c r="A9" s="8" t="s">
        <v>24</v>
      </c>
      <c r="B9" s="9" t="s">
        <v>25</v>
      </c>
      <c r="C9" s="9" t="s">
        <v>26</v>
      </c>
      <c r="D9" s="9" t="s">
        <v>27</v>
      </c>
      <c r="E9" s="9" t="s">
        <v>28</v>
      </c>
    </row>
    <row r="10" spans="1:5" ht="44" customHeight="1">
      <c r="A10" s="7" t="s">
        <v>29</v>
      </c>
      <c r="B10" s="1" t="s">
        <v>30</v>
      </c>
      <c r="C10" s="1" t="s">
        <v>31</v>
      </c>
      <c r="D10" s="1" t="s">
        <v>32</v>
      </c>
      <c r="E10" s="1" t="s">
        <v>33</v>
      </c>
    </row>
    <row r="11" spans="1:5" ht="58.2" customHeight="1">
      <c r="A11" s="8" t="s">
        <v>34</v>
      </c>
      <c r="B11" s="9" t="s">
        <v>35</v>
      </c>
      <c r="C11" s="9" t="s">
        <v>36</v>
      </c>
      <c r="D11" s="9" t="s">
        <v>37</v>
      </c>
      <c r="E11" s="9" t="s">
        <v>38</v>
      </c>
    </row>
    <row r="12" spans="1:5" ht="58.2" customHeight="1">
      <c r="A12" s="7" t="s">
        <v>39</v>
      </c>
      <c r="B12" s="1" t="s">
        <v>40</v>
      </c>
      <c r="C12" s="1" t="s">
        <v>41</v>
      </c>
      <c r="D12" s="1" t="s">
        <v>42</v>
      </c>
      <c r="E12" s="1" t="s">
        <v>43</v>
      </c>
    </row>
    <row r="13" spans="1:5" ht="58.2" customHeight="1">
      <c r="A13" s="8" t="s">
        <v>44</v>
      </c>
      <c r="B13" s="9" t="s">
        <v>45</v>
      </c>
      <c r="C13" s="9" t="s">
        <v>46</v>
      </c>
      <c r="D13" s="9" t="s">
        <v>47</v>
      </c>
      <c r="E13" s="9" t="s">
        <v>18</v>
      </c>
    </row>
    <row r="14" spans="1:5" ht="58.2" customHeight="1">
      <c r="A14" s="7" t="s">
        <v>48</v>
      </c>
      <c r="B14" s="1" t="s">
        <v>49</v>
      </c>
      <c r="C14" s="1" t="s">
        <v>50</v>
      </c>
      <c r="D14" s="1" t="s">
        <v>51</v>
      </c>
      <c r="E14" s="1" t="s">
        <v>52</v>
      </c>
    </row>
    <row r="15" spans="1:5" ht="58.2" customHeight="1">
      <c r="A15" s="8" t="s">
        <v>53</v>
      </c>
      <c r="B15" s="9" t="s">
        <v>54</v>
      </c>
      <c r="C15" s="9" t="s">
        <v>55</v>
      </c>
      <c r="D15" s="9" t="s">
        <v>56</v>
      </c>
      <c r="E15" s="9" t="s">
        <v>57</v>
      </c>
    </row>
    <row r="16" spans="1:5" ht="58.2" customHeight="1">
      <c r="A16" s="7" t="s">
        <v>58</v>
      </c>
      <c r="B16" s="1" t="s">
        <v>59</v>
      </c>
      <c r="C16" s="1" t="s">
        <v>60</v>
      </c>
      <c r="D16" s="1" t="s">
        <v>61</v>
      </c>
      <c r="E16" s="1" t="s">
        <v>62</v>
      </c>
    </row>
    <row r="17" spans="1:5" ht="58.2" customHeight="1">
      <c r="A17" s="8" t="s">
        <v>63</v>
      </c>
      <c r="B17" s="9" t="s">
        <v>64</v>
      </c>
      <c r="C17" s="9" t="s">
        <v>65</v>
      </c>
      <c r="D17" s="9" t="s">
        <v>66</v>
      </c>
      <c r="E17" s="9" t="s">
        <v>67</v>
      </c>
    </row>
    <row r="18" spans="1:5" ht="58.2" customHeight="1">
      <c r="A18" s="7" t="s">
        <v>68</v>
      </c>
      <c r="B18" s="1" t="s">
        <v>69</v>
      </c>
      <c r="C18" s="1" t="s">
        <v>70</v>
      </c>
      <c r="D18" s="1" t="s">
        <v>71</v>
      </c>
      <c r="E18" s="1" t="s">
        <v>72</v>
      </c>
    </row>
    <row r="19" spans="1:5" ht="44" customHeight="1">
      <c r="A19" s="8" t="s">
        <v>73</v>
      </c>
      <c r="B19" s="9" t="s">
        <v>74</v>
      </c>
      <c r="C19" s="9" t="s">
        <v>75</v>
      </c>
      <c r="D19" s="9" t="s">
        <v>76</v>
      </c>
      <c r="E19" s="9" t="s">
        <v>77</v>
      </c>
    </row>
    <row r="20" spans="1:5" ht="44" customHeight="1">
      <c r="A20" s="7" t="s">
        <v>78</v>
      </c>
      <c r="B20" s="1" t="s">
        <v>79</v>
      </c>
      <c r="C20" s="1" t="s">
        <v>80</v>
      </c>
      <c r="D20" s="1" t="s">
        <v>81</v>
      </c>
      <c r="E20" s="1" t="s">
        <v>82</v>
      </c>
    </row>
    <row r="21" spans="1:5" ht="44" customHeight="1">
      <c r="A21" s="8" t="s">
        <v>83</v>
      </c>
      <c r="B21" s="9" t="s">
        <v>84</v>
      </c>
      <c r="C21" s="9" t="s">
        <v>85</v>
      </c>
      <c r="D21" s="9" t="s">
        <v>86</v>
      </c>
      <c r="E21" s="9" t="s">
        <v>87</v>
      </c>
    </row>
  </sheetData>
  <autoFilter ref="A5:E21"/>
  <mergeCells count="3">
    <mergeCell ref="A1:E1"/>
    <mergeCell ref="A2:E2"/>
    <mergeCell ref="A3:E3"/>
  </mergeCells>
  <hyperlinks>
    <hyperlink ref="A4" location="'00_案内'!A1" display="← 目次"/>
    <hyperlink ref="E7" location="'22_出典'!A38" display="S33"/>
    <hyperlink ref="E8" location="'22_出典'!A39" display="S34 S62"/>
    <hyperlink ref="E9" location="'22_出典'!A41" display="S36 S40"/>
    <hyperlink ref="E10" location="'22_出典'!A61" display="S56 S58"/>
    <hyperlink ref="E11" location="'22_出典'!A15" display="S10 S59"/>
    <hyperlink ref="E12" location="'22_出典'!A64" display="S59"/>
    <hyperlink ref="E13" location="'22_出典'!A38" display="S33"/>
    <hyperlink ref="E14" location="'22_出典'!A54" display="S49 S50"/>
    <hyperlink ref="E15" location="'22_出典'!A22" display="S17 S33"/>
    <hyperlink ref="E16" location="'22_出典'!A10" display="S05 S33"/>
    <hyperlink ref="E17" location="'22_出典'!A15" display="S10 S33"/>
    <hyperlink ref="E18" location="'22_出典'!A6" display="S01 S41"/>
    <hyperlink ref="E19" location="'22_出典'!A12" display="S07 S33"/>
    <hyperlink ref="E20" location="'22_出典'!A11" display="S06 S33"/>
    <hyperlink ref="E21" location="'22_出典'!A83" display="S78"/>
  </hyperlinks>
  <pageMargins left="0.28" right="0.28" top="0.4" bottom="0.4" header="0.3" footer="0.3"/>
  <pageSetup paperSize="8" fitToHeight="0" orientation="landscape"/>
  <headerFooter>
    <oddHeader>&amp;L&amp;"Meiryo UI,Regular"&amp;9 AWS / JMeter / EAP 8.1 &amp;R2026-10-02</oddHeader>
    <oddFooter>&amp;L&amp;"Meiryo UI,Regular"&amp;8 公式資料の確認日を基準に記述　&amp;R&amp;P / &amp;N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77777"/>
    <pageSetUpPr fitToPage="1"/>
  </sheetPr>
  <dimension ref="A1:E26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2" customHeight="1"/>
  <cols>
    <col min="1" max="1" width="17.7109375" style="1" customWidth="1"/>
    <col min="2" max="2" width="37.7109375" style="1" customWidth="1"/>
    <col min="3" max="4" width="52.7109375" style="1" customWidth="1"/>
    <col min="5" max="5" width="12.7109375" style="1" customWidth="1"/>
  </cols>
  <sheetData>
    <row r="1" spans="1:5" ht="47" customHeight="1">
      <c r="A1" s="2" t="s">
        <v>88</v>
      </c>
      <c r="B1" s="2"/>
      <c r="C1" s="2"/>
      <c r="D1" s="2"/>
      <c r="E1" s="2"/>
    </row>
    <row r="2" spans="1:5" ht="25" customHeight="1">
      <c r="A2" s="3" t="s">
        <v>1</v>
      </c>
      <c r="B2" s="3"/>
      <c r="C2" s="3"/>
      <c r="D2" s="3"/>
      <c r="E2" s="3"/>
    </row>
    <row r="3" spans="1:5" ht="48" customHeight="1">
      <c r="A3" s="4" t="s">
        <v>89</v>
      </c>
      <c r="B3" s="4"/>
      <c r="C3" s="4"/>
      <c r="D3" s="4"/>
      <c r="E3" s="4"/>
    </row>
    <row r="4" spans="1:5" ht="23" customHeight="1">
      <c r="A4" s="5" t="s">
        <v>3</v>
      </c>
    </row>
    <row r="5" spans="1:5" ht="35" customHeight="1">
      <c r="A5" s="6" t="s">
        <v>90</v>
      </c>
      <c r="B5" s="6" t="s">
        <v>91</v>
      </c>
      <c r="C5" s="6" t="s">
        <v>92</v>
      </c>
      <c r="D5" s="6" t="s">
        <v>93</v>
      </c>
      <c r="E5" s="6" t="s">
        <v>8</v>
      </c>
    </row>
    <row r="6" spans="1:5" ht="44" customHeight="1">
      <c r="A6" s="7" t="s">
        <v>94</v>
      </c>
      <c r="B6" s="1" t="s">
        <v>95</v>
      </c>
      <c r="C6" s="1" t="s">
        <v>96</v>
      </c>
      <c r="D6" s="1" t="s">
        <v>97</v>
      </c>
      <c r="E6" s="1" t="s">
        <v>98</v>
      </c>
    </row>
    <row r="7" spans="1:5" ht="44" customHeight="1">
      <c r="A7" s="8" t="s">
        <v>99</v>
      </c>
      <c r="B7" s="9" t="s">
        <v>100</v>
      </c>
      <c r="C7" s="9" t="s">
        <v>101</v>
      </c>
      <c r="D7" s="9" t="s">
        <v>102</v>
      </c>
      <c r="E7" s="9" t="s">
        <v>103</v>
      </c>
    </row>
    <row r="8" spans="1:5" ht="44" customHeight="1">
      <c r="A8" s="7" t="s">
        <v>104</v>
      </c>
      <c r="B8" s="1" t="s">
        <v>105</v>
      </c>
      <c r="C8" s="1" t="s">
        <v>106</v>
      </c>
      <c r="D8" s="1" t="s">
        <v>107</v>
      </c>
      <c r="E8" s="1" t="s">
        <v>108</v>
      </c>
    </row>
    <row r="9" spans="1:5" ht="44" customHeight="1">
      <c r="A9" s="8" t="s">
        <v>109</v>
      </c>
      <c r="B9" s="9" t="s">
        <v>110</v>
      </c>
      <c r="C9" s="9" t="s">
        <v>111</v>
      </c>
      <c r="D9" s="9" t="s">
        <v>112</v>
      </c>
      <c r="E9" s="9" t="s">
        <v>113</v>
      </c>
    </row>
    <row r="10" spans="1:5" ht="44" customHeight="1">
      <c r="A10" s="7" t="s">
        <v>114</v>
      </c>
      <c r="B10" s="1" t="s">
        <v>115</v>
      </c>
      <c r="C10" s="1" t="s">
        <v>116</v>
      </c>
      <c r="D10" s="1" t="s">
        <v>117</v>
      </c>
      <c r="E10" s="1" t="s">
        <v>118</v>
      </c>
    </row>
    <row r="11" spans="1:5" ht="44" customHeight="1">
      <c r="A11" s="8" t="s">
        <v>119</v>
      </c>
      <c r="B11" s="9" t="s">
        <v>120</v>
      </c>
      <c r="C11" s="9" t="s">
        <v>121</v>
      </c>
      <c r="D11" s="9" t="s">
        <v>122</v>
      </c>
      <c r="E11" s="9" t="s">
        <v>123</v>
      </c>
    </row>
    <row r="12" spans="1:5" ht="44" customHeight="1">
      <c r="A12" s="7" t="s">
        <v>124</v>
      </c>
      <c r="B12" s="1" t="s">
        <v>125</v>
      </c>
      <c r="C12" s="1" t="s">
        <v>126</v>
      </c>
      <c r="D12" s="1" t="s">
        <v>127</v>
      </c>
      <c r="E12" s="1" t="s">
        <v>128</v>
      </c>
    </row>
    <row r="13" spans="1:5" ht="44" customHeight="1">
      <c r="A13" s="8" t="s">
        <v>129</v>
      </c>
      <c r="B13" s="9" t="s">
        <v>130</v>
      </c>
      <c r="C13" s="9" t="s">
        <v>131</v>
      </c>
      <c r="D13" s="9" t="s">
        <v>132</v>
      </c>
      <c r="E13" s="9" t="s">
        <v>133</v>
      </c>
    </row>
    <row r="14" spans="1:5" ht="44" customHeight="1">
      <c r="A14" s="7" t="s">
        <v>134</v>
      </c>
      <c r="B14" s="1" t="s">
        <v>135</v>
      </c>
      <c r="C14" s="1" t="s">
        <v>136</v>
      </c>
      <c r="D14" s="1" t="s">
        <v>137</v>
      </c>
      <c r="E14" s="1" t="s">
        <v>138</v>
      </c>
    </row>
    <row r="15" spans="1:5" ht="44" customHeight="1">
      <c r="A15" s="8" t="s">
        <v>139</v>
      </c>
      <c r="B15" s="9" t="s">
        <v>140</v>
      </c>
      <c r="C15" s="9" t="s">
        <v>141</v>
      </c>
      <c r="D15" s="9" t="s">
        <v>142</v>
      </c>
      <c r="E15" s="9" t="s">
        <v>143</v>
      </c>
    </row>
    <row r="16" spans="1:5" ht="44" customHeight="1">
      <c r="A16" s="7" t="s">
        <v>144</v>
      </c>
      <c r="B16" s="1" t="s">
        <v>145</v>
      </c>
      <c r="C16" s="1" t="s">
        <v>146</v>
      </c>
      <c r="D16" s="1" t="s">
        <v>147</v>
      </c>
      <c r="E16" s="1" t="s">
        <v>148</v>
      </c>
    </row>
    <row r="17" spans="1:5" ht="44" customHeight="1">
      <c r="A17" s="8" t="s">
        <v>149</v>
      </c>
      <c r="B17" s="9" t="s">
        <v>150</v>
      </c>
      <c r="C17" s="9" t="s">
        <v>151</v>
      </c>
      <c r="D17" s="9" t="s">
        <v>152</v>
      </c>
      <c r="E17" s="9" t="s">
        <v>153</v>
      </c>
    </row>
    <row r="18" spans="1:5" ht="44" customHeight="1">
      <c r="A18" s="7" t="s">
        <v>154</v>
      </c>
      <c r="B18" s="1" t="s">
        <v>155</v>
      </c>
      <c r="C18" s="1" t="s">
        <v>156</v>
      </c>
      <c r="D18" s="1" t="s">
        <v>157</v>
      </c>
      <c r="E18" s="1" t="s">
        <v>87</v>
      </c>
    </row>
    <row r="19" spans="1:5" ht="44" customHeight="1">
      <c r="A19" s="8" t="s">
        <v>158</v>
      </c>
      <c r="B19" s="9" t="s">
        <v>159</v>
      </c>
      <c r="C19" s="9" t="s">
        <v>160</v>
      </c>
      <c r="D19" s="9" t="s">
        <v>161</v>
      </c>
      <c r="E19" s="9" t="s">
        <v>162</v>
      </c>
    </row>
    <row r="20" spans="1:5" ht="44" customHeight="1">
      <c r="A20" s="7" t="s">
        <v>163</v>
      </c>
      <c r="B20" s="1" t="s">
        <v>164</v>
      </c>
      <c r="C20" s="1" t="s">
        <v>165</v>
      </c>
      <c r="D20" s="1" t="s">
        <v>166</v>
      </c>
      <c r="E20" s="1" t="s">
        <v>167</v>
      </c>
    </row>
    <row r="21" spans="1:5" ht="44" customHeight="1">
      <c r="A21" s="8" t="s">
        <v>168</v>
      </c>
      <c r="B21" s="9" t="s">
        <v>169</v>
      </c>
      <c r="C21" s="9" t="s">
        <v>170</v>
      </c>
      <c r="D21" s="9" t="s">
        <v>171</v>
      </c>
      <c r="E21" s="9" t="s">
        <v>172</v>
      </c>
    </row>
    <row r="22" spans="1:5" ht="58.2" customHeight="1">
      <c r="A22" s="7" t="s">
        <v>173</v>
      </c>
      <c r="B22" s="1" t="s">
        <v>174</v>
      </c>
      <c r="C22" s="1" t="s">
        <v>175</v>
      </c>
      <c r="D22" s="1" t="s">
        <v>176</v>
      </c>
      <c r="E22" s="1" t="s">
        <v>177</v>
      </c>
    </row>
    <row r="23" spans="1:5" ht="44" customHeight="1">
      <c r="A23" s="8" t="s">
        <v>178</v>
      </c>
      <c r="B23" s="9" t="s">
        <v>179</v>
      </c>
      <c r="C23" s="9" t="s">
        <v>180</v>
      </c>
      <c r="D23" s="9" t="s">
        <v>181</v>
      </c>
      <c r="E23" s="9" t="s">
        <v>182</v>
      </c>
    </row>
    <row r="24" spans="1:5" ht="44" customHeight="1">
      <c r="A24" s="7" t="s">
        <v>183</v>
      </c>
      <c r="B24" s="1" t="s">
        <v>184</v>
      </c>
      <c r="C24" s="1" t="s">
        <v>185</v>
      </c>
      <c r="D24" s="1" t="s">
        <v>186</v>
      </c>
      <c r="E24" s="1" t="s">
        <v>187</v>
      </c>
    </row>
    <row r="25" spans="1:5" ht="44" customHeight="1">
      <c r="A25" s="8" t="s">
        <v>188</v>
      </c>
      <c r="B25" s="9" t="s">
        <v>189</v>
      </c>
      <c r="C25" s="9" t="s">
        <v>190</v>
      </c>
      <c r="D25" s="9" t="s">
        <v>191</v>
      </c>
      <c r="E25" s="9" t="s">
        <v>192</v>
      </c>
    </row>
    <row r="26" spans="1:5" ht="73.6" customHeight="1">
      <c r="A26" s="7" t="s">
        <v>193</v>
      </c>
      <c r="B26" s="1" t="s">
        <v>194</v>
      </c>
      <c r="C26" s="1" t="s">
        <v>195</v>
      </c>
      <c r="D26" s="1" t="s">
        <v>196</v>
      </c>
      <c r="E26" s="1" t="s">
        <v>197</v>
      </c>
    </row>
  </sheetData>
  <autoFilter ref="A5:E26"/>
  <mergeCells count="3">
    <mergeCell ref="A1:E1"/>
    <mergeCell ref="A2:E2"/>
    <mergeCell ref="A3:E3"/>
  </mergeCells>
  <hyperlinks>
    <hyperlink ref="A4" location="'00_案内'!A1" display="← 目次"/>
    <hyperlink ref="E6" location="'22_出典'!A70" display="S65"/>
    <hyperlink ref="E7" location="'22_出典'!A71" display="S66"/>
    <hyperlink ref="E8" location="'22_出典'!A72" display="S67"/>
    <hyperlink ref="E9" location="'22_出典'!A73" display="S68"/>
    <hyperlink ref="E10" location="'22_出典'!A74" display="S69 S03"/>
    <hyperlink ref="E11" location="'22_出典'!A75" display="S70"/>
    <hyperlink ref="E12" location="'22_出典'!A77" display="S72"/>
    <hyperlink ref="E13" location="'22_出典'!A76" display="S71"/>
    <hyperlink ref="E14" location="'22_出典'!A78" display="S73"/>
    <hyperlink ref="E15" location="'22_出典'!A79" display="S74"/>
    <hyperlink ref="E16" location="'22_出典'!A80" display="S75 S76"/>
    <hyperlink ref="E17" location="'22_出典'!A82" display="S77 S60"/>
    <hyperlink ref="E18" location="'22_出典'!A83" display="S78"/>
    <hyperlink ref="E19" location="'22_出典'!A84" display="S79 S36"/>
    <hyperlink ref="E20" location="'22_出典'!A85" display="S80"/>
    <hyperlink ref="E21" location="'22_出典'!A14" display="S09"/>
    <hyperlink ref="E22" location="'22_出典'!A43" display="S38 S39"/>
    <hyperlink ref="E23" location="'22_出典'!A88" display="S83"/>
    <hyperlink ref="E24" location="'22_出典'!A86" display="S81 S07"/>
    <hyperlink ref="E25" location="'22_出典'!A87" display="S82 S13"/>
    <hyperlink ref="E26" location="'22_出典'!A24" display="S19 S22"/>
  </hyperlinks>
  <pageMargins left="0.28" right="0.28" top="0.4" bottom="0.4" header="0.3" footer="0.3"/>
  <pageSetup paperSize="8" fitToHeight="0" orientation="landscape"/>
  <headerFooter>
    <oddHeader>&amp;L&amp;"Meiryo UI,Regular"&amp;9 AWS / JMeter / EAP 8.1 &amp;R2026-10-02</oddHeader>
    <oddFooter>&amp;L&amp;"Meiryo UI,Regular"&amp;8 公式資料の確認日を基準に記述　&amp;R&amp;P / &amp;N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77777"/>
    <pageSetUpPr fitToPage="1"/>
  </sheetPr>
  <dimension ref="A1:E20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2" customHeight="1"/>
  <cols>
    <col min="1" max="1" width="25.7109375" style="1" customWidth="1"/>
    <col min="2" max="2" width="37.7109375" style="1" customWidth="1"/>
    <col min="3" max="3" width="49.7109375" style="1" customWidth="1"/>
    <col min="4" max="4" width="47.7109375" style="1" customWidth="1"/>
    <col min="5" max="5" width="12.7109375" style="1" customWidth="1"/>
  </cols>
  <sheetData>
    <row r="1" spans="1:5" ht="47" customHeight="1">
      <c r="A1" s="2" t="s">
        <v>198</v>
      </c>
      <c r="B1" s="2"/>
      <c r="C1" s="2"/>
      <c r="D1" s="2"/>
      <c r="E1" s="2"/>
    </row>
    <row r="2" spans="1:5" ht="25" customHeight="1">
      <c r="A2" s="3" t="s">
        <v>1</v>
      </c>
      <c r="B2" s="3"/>
      <c r="C2" s="3"/>
      <c r="D2" s="3"/>
      <c r="E2" s="3"/>
    </row>
    <row r="3" spans="1:5" ht="48" customHeight="1">
      <c r="A3" s="4" t="s">
        <v>199</v>
      </c>
      <c r="B3" s="4"/>
      <c r="C3" s="4"/>
      <c r="D3" s="4"/>
      <c r="E3" s="4"/>
    </row>
    <row r="4" spans="1:5" ht="23" customHeight="1">
      <c r="A4" s="5" t="s">
        <v>3</v>
      </c>
    </row>
    <row r="5" spans="1:5" ht="35" customHeight="1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</row>
    <row r="6" spans="1:5" ht="58.2" customHeight="1">
      <c r="A6" s="7" t="s">
        <v>200</v>
      </c>
      <c r="B6" s="1" t="s">
        <v>201</v>
      </c>
      <c r="C6" s="1" t="s">
        <v>202</v>
      </c>
      <c r="D6" s="1" t="s">
        <v>203</v>
      </c>
      <c r="E6" s="1" t="s">
        <v>18</v>
      </c>
    </row>
    <row r="7" spans="1:5" ht="58.2" customHeight="1">
      <c r="A7" s="8" t="s">
        <v>204</v>
      </c>
      <c r="B7" s="9" t="s">
        <v>205</v>
      </c>
      <c r="C7" s="9" t="s">
        <v>206</v>
      </c>
      <c r="D7" s="9" t="s">
        <v>207</v>
      </c>
      <c r="E7" s="9" t="s">
        <v>208</v>
      </c>
    </row>
    <row r="8" spans="1:5" ht="58.2" customHeight="1">
      <c r="A8" s="7" t="s">
        <v>209</v>
      </c>
      <c r="B8" s="1" t="s">
        <v>210</v>
      </c>
      <c r="C8" s="1" t="s">
        <v>211</v>
      </c>
      <c r="D8" s="1" t="s">
        <v>212</v>
      </c>
      <c r="E8" s="1" t="s">
        <v>213</v>
      </c>
    </row>
    <row r="9" spans="1:5" ht="58.2" customHeight="1">
      <c r="A9" s="8" t="s">
        <v>214</v>
      </c>
      <c r="B9" s="9" t="s">
        <v>215</v>
      </c>
      <c r="C9" s="9" t="s">
        <v>216</v>
      </c>
      <c r="D9" s="9" t="s">
        <v>217</v>
      </c>
      <c r="E9" s="9" t="s">
        <v>218</v>
      </c>
    </row>
    <row r="10" spans="1:5" ht="58.2" customHeight="1">
      <c r="A10" s="7" t="s">
        <v>219</v>
      </c>
      <c r="B10" s="1" t="s">
        <v>220</v>
      </c>
      <c r="C10" s="1" t="s">
        <v>221</v>
      </c>
      <c r="D10" s="1" t="s">
        <v>222</v>
      </c>
      <c r="E10" s="1" t="s">
        <v>223</v>
      </c>
    </row>
    <row r="11" spans="1:5" ht="58.2" customHeight="1">
      <c r="A11" s="8" t="s">
        <v>224</v>
      </c>
      <c r="B11" s="9" t="s">
        <v>225</v>
      </c>
      <c r="C11" s="9" t="s">
        <v>226</v>
      </c>
      <c r="D11" s="9" t="s">
        <v>227</v>
      </c>
      <c r="E11" s="9" t="s">
        <v>228</v>
      </c>
    </row>
    <row r="12" spans="1:5" ht="44" customHeight="1">
      <c r="A12" s="7" t="s">
        <v>229</v>
      </c>
      <c r="B12" s="1" t="s">
        <v>230</v>
      </c>
      <c r="C12" s="1" t="s">
        <v>231</v>
      </c>
      <c r="D12" s="1" t="s">
        <v>232</v>
      </c>
      <c r="E12" s="1" t="s">
        <v>233</v>
      </c>
    </row>
    <row r="13" spans="1:5" ht="58.2" customHeight="1">
      <c r="A13" s="8" t="s">
        <v>234</v>
      </c>
      <c r="B13" s="9" t="s">
        <v>235</v>
      </c>
      <c r="C13" s="9" t="s">
        <v>236</v>
      </c>
      <c r="D13" s="9" t="s">
        <v>237</v>
      </c>
      <c r="E13" s="9" t="s">
        <v>238</v>
      </c>
    </row>
    <row r="14" spans="1:5" ht="73.6" customHeight="1">
      <c r="A14" s="7" t="s">
        <v>239</v>
      </c>
      <c r="B14" s="1" t="s">
        <v>240</v>
      </c>
      <c r="C14" s="1" t="s">
        <v>241</v>
      </c>
      <c r="D14" s="1" t="s">
        <v>242</v>
      </c>
      <c r="E14" s="1" t="s">
        <v>243</v>
      </c>
    </row>
    <row r="15" spans="1:5" ht="44" customHeight="1">
      <c r="A15" s="8" t="s">
        <v>244</v>
      </c>
      <c r="B15" s="9" t="s">
        <v>245</v>
      </c>
      <c r="C15" s="9" t="s">
        <v>246</v>
      </c>
      <c r="D15" s="9" t="s">
        <v>247</v>
      </c>
      <c r="E15" s="9" t="s">
        <v>248</v>
      </c>
    </row>
    <row r="16" spans="1:5" ht="58.2" customHeight="1">
      <c r="A16" s="7" t="s">
        <v>249</v>
      </c>
      <c r="B16" s="1" t="s">
        <v>250</v>
      </c>
      <c r="C16" s="1" t="s">
        <v>251</v>
      </c>
      <c r="D16" s="1" t="s">
        <v>252</v>
      </c>
      <c r="E16" s="1" t="s">
        <v>253</v>
      </c>
    </row>
    <row r="17" spans="1:5" ht="58.2" customHeight="1">
      <c r="A17" s="8" t="s">
        <v>254</v>
      </c>
      <c r="B17" s="9" t="s">
        <v>255</v>
      </c>
      <c r="C17" s="9" t="s">
        <v>256</v>
      </c>
      <c r="D17" s="9" t="s">
        <v>257</v>
      </c>
      <c r="E17" s="9" t="s">
        <v>258</v>
      </c>
    </row>
    <row r="18" spans="1:5" ht="44" customHeight="1">
      <c r="A18" s="7" t="s">
        <v>259</v>
      </c>
      <c r="B18" s="1" t="s">
        <v>260</v>
      </c>
      <c r="C18" s="1" t="s">
        <v>261</v>
      </c>
      <c r="D18" s="1" t="s">
        <v>262</v>
      </c>
      <c r="E18" s="1" t="s">
        <v>138</v>
      </c>
    </row>
    <row r="19" spans="1:5" ht="44" customHeight="1">
      <c r="A19" s="8" t="s">
        <v>263</v>
      </c>
      <c r="B19" s="9" t="s">
        <v>264</v>
      </c>
      <c r="C19" s="9" t="s">
        <v>265</v>
      </c>
      <c r="D19" s="9" t="s">
        <v>266</v>
      </c>
      <c r="E19" s="9" t="s">
        <v>153</v>
      </c>
    </row>
    <row r="20" spans="1:5" ht="58.2" customHeight="1">
      <c r="A20" s="7" t="s">
        <v>267</v>
      </c>
      <c r="B20" s="1" t="s">
        <v>268</v>
      </c>
      <c r="C20" s="1" t="s">
        <v>269</v>
      </c>
      <c r="D20" s="1" t="s">
        <v>270</v>
      </c>
      <c r="E20" s="1" t="s">
        <v>271</v>
      </c>
    </row>
  </sheetData>
  <autoFilter ref="A5:E20"/>
  <mergeCells count="3">
    <mergeCell ref="A1:E1"/>
    <mergeCell ref="A2:E2"/>
    <mergeCell ref="A3:E3"/>
  </mergeCells>
  <hyperlinks>
    <hyperlink ref="A4" location="'00_案内'!A1" display="← 目次"/>
    <hyperlink ref="E6" location="'22_出典'!A38" display="S33"/>
    <hyperlink ref="E7" location="'22_出典'!A10" display="S05 S08"/>
    <hyperlink ref="E8" location="'22_出典'!A6" display="S01 S02 S03"/>
    <hyperlink ref="E9" location="'22_出典'!A41" display="S36 S39 S40"/>
    <hyperlink ref="E10" location="'22_出典'!A41" display="S36 S37"/>
    <hyperlink ref="E11" location="'22_出典'!A39" display="S34 S62 S63"/>
    <hyperlink ref="E12" location="'22_出典'!A24" display="S19 S20"/>
    <hyperlink ref="E13" location="'22_出典'!A26" display="S21"/>
    <hyperlink ref="E14" location="'22_出典'!A48" display="S43"/>
    <hyperlink ref="E15" location="'22_出典'!A80" display="S75"/>
    <hyperlink ref="E16" location="'22_出典'!A8" display="S03 S40 S74"/>
    <hyperlink ref="E17" location="'22_出典'!A7" display="S02 S03 S42 S43"/>
    <hyperlink ref="E18" location="'22_出典'!A78" display="S73"/>
    <hyperlink ref="E19" location="'22_出典'!A82" display="S77 S60"/>
    <hyperlink ref="E20" location="'22_出典'!A14" display="S09 S61"/>
  </hyperlinks>
  <pageMargins left="0.28" right="0.28" top="0.4" bottom="0.4" header="0.3" footer="0.3"/>
  <pageSetup paperSize="8" fitToHeight="0" orientation="landscape"/>
  <headerFooter>
    <oddHeader>&amp;L&amp;"Meiryo UI,Regular"&amp;9 AWS / JMeter / EAP 8.1 &amp;R2026-10-02</oddHeader>
    <oddFooter>&amp;L&amp;"Meiryo UI,Regular"&amp;8 公式資料の確認日を基準に記述　&amp;R&amp;P / &amp;N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777777"/>
    <pageSetUpPr fitToPage="1"/>
  </sheetPr>
  <dimension ref="A1:F21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2" customHeight="1"/>
  <cols>
    <col min="1" max="1" width="21.7109375" style="1" customWidth="1"/>
    <col min="2" max="2" width="39.7109375" style="1" customWidth="1"/>
    <col min="3" max="3" width="25.7109375" style="1" customWidth="1"/>
    <col min="4" max="4" width="39.7109375" style="1" customWidth="1"/>
    <col min="5" max="5" width="45.7109375" style="1" customWidth="1"/>
    <col min="6" max="6" width="12.7109375" style="1" customWidth="1"/>
  </cols>
  <sheetData>
    <row r="1" spans="1:6" ht="47" customHeight="1">
      <c r="A1" s="2" t="s">
        <v>272</v>
      </c>
      <c r="B1" s="2"/>
      <c r="C1" s="2"/>
      <c r="D1" s="2"/>
      <c r="E1" s="2"/>
      <c r="F1" s="2"/>
    </row>
    <row r="2" spans="1:6" ht="25" customHeight="1">
      <c r="A2" s="3" t="s">
        <v>1</v>
      </c>
      <c r="B2" s="3"/>
      <c r="C2" s="3"/>
      <c r="D2" s="3"/>
      <c r="E2" s="3"/>
      <c r="F2" s="3"/>
    </row>
    <row r="3" spans="1:6" ht="48" customHeight="1">
      <c r="A3" s="4" t="s">
        <v>273</v>
      </c>
      <c r="B3" s="4"/>
      <c r="C3" s="4"/>
      <c r="D3" s="4"/>
      <c r="E3" s="4"/>
      <c r="F3" s="4"/>
    </row>
    <row r="4" spans="1:6" ht="23" customHeight="1">
      <c r="A4" s="5" t="s">
        <v>3</v>
      </c>
    </row>
    <row r="5" spans="1:6" ht="35" customHeight="1">
      <c r="A5" s="6" t="s">
        <v>274</v>
      </c>
      <c r="B5" s="6" t="s">
        <v>275</v>
      </c>
      <c r="C5" s="6" t="s">
        <v>276</v>
      </c>
      <c r="D5" s="6" t="s">
        <v>277</v>
      </c>
      <c r="E5" s="6" t="s">
        <v>278</v>
      </c>
      <c r="F5" s="6" t="s">
        <v>8</v>
      </c>
    </row>
    <row r="6" spans="1:6" ht="58.2" customHeight="1">
      <c r="A6" s="7" t="s">
        <v>279</v>
      </c>
      <c r="B6" s="1" t="s">
        <v>280</v>
      </c>
      <c r="C6" s="1" t="s">
        <v>281</v>
      </c>
      <c r="D6" s="1" t="s">
        <v>282</v>
      </c>
      <c r="E6" s="1" t="s">
        <v>283</v>
      </c>
      <c r="F6" s="1" t="s">
        <v>284</v>
      </c>
    </row>
    <row r="7" spans="1:6" ht="44" customHeight="1">
      <c r="A7" s="8" t="s">
        <v>279</v>
      </c>
      <c r="B7" s="9" t="s">
        <v>285</v>
      </c>
      <c r="C7" s="9" t="s">
        <v>286</v>
      </c>
      <c r="D7" s="9" t="s">
        <v>287</v>
      </c>
      <c r="E7" s="9" t="s">
        <v>288</v>
      </c>
      <c r="F7" s="9" t="s">
        <v>284</v>
      </c>
    </row>
    <row r="8" spans="1:6" ht="58.2" customHeight="1">
      <c r="A8" s="7" t="s">
        <v>279</v>
      </c>
      <c r="B8" s="1" t="s">
        <v>289</v>
      </c>
      <c r="C8" s="1" t="s">
        <v>290</v>
      </c>
      <c r="D8" s="1" t="s">
        <v>291</v>
      </c>
      <c r="E8" s="1" t="s">
        <v>292</v>
      </c>
      <c r="F8" s="1" t="s">
        <v>284</v>
      </c>
    </row>
    <row r="9" spans="1:6" ht="58.2" customHeight="1">
      <c r="A9" s="8" t="s">
        <v>279</v>
      </c>
      <c r="B9" s="9" t="s">
        <v>293</v>
      </c>
      <c r="C9" s="9" t="s">
        <v>290</v>
      </c>
      <c r="D9" s="9" t="s">
        <v>294</v>
      </c>
      <c r="E9" s="9" t="s">
        <v>295</v>
      </c>
      <c r="F9" s="9" t="s">
        <v>284</v>
      </c>
    </row>
    <row r="10" spans="1:6" ht="58.2" customHeight="1">
      <c r="A10" s="7" t="s">
        <v>279</v>
      </c>
      <c r="B10" s="1" t="s">
        <v>296</v>
      </c>
      <c r="C10" s="1" t="s">
        <v>297</v>
      </c>
      <c r="D10" s="1" t="s">
        <v>298</v>
      </c>
      <c r="E10" s="1" t="s">
        <v>299</v>
      </c>
      <c r="F10" s="1" t="s">
        <v>284</v>
      </c>
    </row>
    <row r="11" spans="1:6" ht="58.2" customHeight="1">
      <c r="A11" s="8" t="s">
        <v>300</v>
      </c>
      <c r="B11" s="9" t="s">
        <v>301</v>
      </c>
      <c r="C11" s="9" t="s">
        <v>290</v>
      </c>
      <c r="D11" s="9" t="s">
        <v>302</v>
      </c>
      <c r="E11" s="9" t="s">
        <v>303</v>
      </c>
      <c r="F11" s="9" t="s">
        <v>284</v>
      </c>
    </row>
    <row r="12" spans="1:6" ht="44" customHeight="1">
      <c r="A12" s="7" t="s">
        <v>300</v>
      </c>
      <c r="B12" s="1" t="s">
        <v>304</v>
      </c>
      <c r="C12" s="1" t="s">
        <v>305</v>
      </c>
      <c r="D12" s="1" t="s">
        <v>306</v>
      </c>
      <c r="E12" s="1" t="s">
        <v>307</v>
      </c>
      <c r="F12" s="1" t="s">
        <v>284</v>
      </c>
    </row>
    <row r="13" spans="1:6" ht="73.6" customHeight="1">
      <c r="A13" s="8" t="s">
        <v>308</v>
      </c>
      <c r="B13" s="9" t="s">
        <v>309</v>
      </c>
      <c r="C13" s="9" t="s">
        <v>310</v>
      </c>
      <c r="D13" s="9" t="s">
        <v>311</v>
      </c>
      <c r="E13" s="9" t="s">
        <v>312</v>
      </c>
      <c r="F13" s="9" t="s">
        <v>284</v>
      </c>
    </row>
    <row r="14" spans="1:6" ht="58.2" customHeight="1">
      <c r="A14" s="7" t="s">
        <v>313</v>
      </c>
      <c r="B14" s="1" t="s">
        <v>314</v>
      </c>
      <c r="C14" s="1" t="s">
        <v>315</v>
      </c>
      <c r="D14" s="1" t="s">
        <v>316</v>
      </c>
      <c r="E14" s="1" t="s">
        <v>317</v>
      </c>
      <c r="F14" s="1" t="s">
        <v>318</v>
      </c>
    </row>
    <row r="15" spans="1:6" ht="58.2" customHeight="1">
      <c r="A15" s="8" t="s">
        <v>319</v>
      </c>
      <c r="B15" s="9" t="s">
        <v>320</v>
      </c>
      <c r="C15" s="9" t="s">
        <v>321</v>
      </c>
      <c r="D15" s="9" t="s">
        <v>322</v>
      </c>
      <c r="E15" s="9" t="s">
        <v>323</v>
      </c>
      <c r="F15" s="9" t="s">
        <v>324</v>
      </c>
    </row>
    <row r="16" spans="1:6" ht="73.6" customHeight="1">
      <c r="A16" s="7" t="s">
        <v>319</v>
      </c>
      <c r="B16" s="1" t="s">
        <v>325</v>
      </c>
      <c r="C16" s="1" t="s">
        <v>326</v>
      </c>
      <c r="D16" s="1" t="s">
        <v>327</v>
      </c>
      <c r="E16" s="1" t="s">
        <v>328</v>
      </c>
      <c r="F16" s="1" t="s">
        <v>324</v>
      </c>
    </row>
    <row r="17" spans="1:6" ht="58.2" customHeight="1">
      <c r="A17" s="8" t="s">
        <v>329</v>
      </c>
      <c r="B17" s="9" t="s">
        <v>330</v>
      </c>
      <c r="C17" s="9" t="s">
        <v>331</v>
      </c>
      <c r="D17" s="9" t="s">
        <v>332</v>
      </c>
      <c r="E17" s="9" t="s">
        <v>333</v>
      </c>
      <c r="F17" s="9" t="s">
        <v>334</v>
      </c>
    </row>
    <row r="18" spans="1:6" ht="73.6" customHeight="1">
      <c r="A18" s="7" t="s">
        <v>335</v>
      </c>
      <c r="B18" s="1" t="s">
        <v>336</v>
      </c>
      <c r="C18" s="1" t="s">
        <v>337</v>
      </c>
      <c r="D18" s="1" t="s">
        <v>338</v>
      </c>
      <c r="E18" s="1" t="s">
        <v>339</v>
      </c>
      <c r="F18" s="1" t="s">
        <v>340</v>
      </c>
    </row>
    <row r="19" spans="1:6" ht="73.6" customHeight="1">
      <c r="A19" s="8" t="s">
        <v>341</v>
      </c>
      <c r="B19" s="9" t="s">
        <v>342</v>
      </c>
      <c r="C19" s="9" t="s">
        <v>343</v>
      </c>
      <c r="D19" s="9" t="s">
        <v>344</v>
      </c>
      <c r="E19" s="9" t="s">
        <v>345</v>
      </c>
      <c r="F19" s="9" t="s">
        <v>346</v>
      </c>
    </row>
    <row r="20" spans="1:6" ht="58.2" customHeight="1">
      <c r="A20" s="7" t="s">
        <v>341</v>
      </c>
      <c r="B20" s="1" t="s">
        <v>347</v>
      </c>
      <c r="C20" s="1" t="s">
        <v>348</v>
      </c>
      <c r="D20" s="1" t="s">
        <v>349</v>
      </c>
      <c r="E20" s="1" t="s">
        <v>350</v>
      </c>
      <c r="F20" s="1" t="s">
        <v>346</v>
      </c>
    </row>
    <row r="21" spans="1:6" ht="73.6" customHeight="1">
      <c r="A21" s="8" t="s">
        <v>351</v>
      </c>
      <c r="B21" s="9" t="s">
        <v>352</v>
      </c>
      <c r="C21" s="9" t="s">
        <v>353</v>
      </c>
      <c r="D21" s="9" t="s">
        <v>354</v>
      </c>
      <c r="E21" s="9" t="s">
        <v>355</v>
      </c>
      <c r="F21" s="9" t="s">
        <v>356</v>
      </c>
    </row>
  </sheetData>
  <autoFilter ref="A5:F21"/>
  <mergeCells count="3">
    <mergeCell ref="A1:F1"/>
    <mergeCell ref="A2:F2"/>
    <mergeCell ref="A3:F3"/>
  </mergeCells>
  <hyperlinks>
    <hyperlink ref="A4" location="'00_案内'!A1" display="← 目次"/>
    <hyperlink ref="F6" location="'22_出典'!A15" display="S10"/>
    <hyperlink ref="F7" location="'22_出典'!A15" display="S10"/>
    <hyperlink ref="F8" location="'22_出典'!A15" display="S10"/>
    <hyperlink ref="F9" location="'22_出典'!A15" display="S10"/>
    <hyperlink ref="F10" location="'22_出典'!A15" display="S10"/>
    <hyperlink ref="F11" location="'22_出典'!A15" display="S10"/>
    <hyperlink ref="F12" location="'22_出典'!A15" display="S10"/>
    <hyperlink ref="F13" location="'22_出典'!A15" display="S10"/>
    <hyperlink ref="F14" location="'22_出典'!A16" display="S11"/>
    <hyperlink ref="F15" location="'22_出典'!A19" display="S14"/>
    <hyperlink ref="F16" location="'22_出典'!A19" display="S14"/>
    <hyperlink ref="F17" location="'22_出典'!A20" display="S15 S16"/>
    <hyperlink ref="F18" location="'22_出典'!A31" display="S26"/>
    <hyperlink ref="F19" location="'22_出典'!A30" display="S25"/>
    <hyperlink ref="F20" location="'22_出典'!A30" display="S25"/>
    <hyperlink ref="F21" location="'22_出典'!A32" display="S27"/>
  </hyperlinks>
  <pageMargins left="0.28" right="0.28" top="0.4" bottom="0.4" header="0.3" footer="0.3"/>
  <pageSetup paperSize="8" fitToHeight="0" orientation="landscape"/>
  <headerFooter>
    <oddHeader>&amp;L&amp;"Meiryo UI,Regular"&amp;9 AWS / JMeter / EAP 8.1 &amp;R2026-10-02</oddHeader>
    <oddFooter>&amp;L&amp;"Meiryo UI,Regular"&amp;8 公式資料の確認日を基準に記述　&amp;R&amp;P / &amp;N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777777"/>
    <pageSetUpPr fitToPage="1"/>
  </sheetPr>
  <dimension ref="A1:F19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2" customHeight="1"/>
  <cols>
    <col min="1" max="1" width="21.7109375" style="1" customWidth="1"/>
    <col min="2" max="2" width="39.7109375" style="1" customWidth="1"/>
    <col min="3" max="3" width="25.7109375" style="1" customWidth="1"/>
    <col min="4" max="4" width="39.7109375" style="1" customWidth="1"/>
    <col min="5" max="5" width="45.7109375" style="1" customWidth="1"/>
    <col min="6" max="6" width="12.7109375" style="1" customWidth="1"/>
  </cols>
  <sheetData>
    <row r="1" spans="1:6" ht="47" customHeight="1">
      <c r="A1" s="2" t="s">
        <v>357</v>
      </c>
      <c r="B1" s="2"/>
      <c r="C1" s="2"/>
      <c r="D1" s="2"/>
      <c r="E1" s="2"/>
      <c r="F1" s="2"/>
    </row>
    <row r="2" spans="1:6" ht="25" customHeight="1">
      <c r="A2" s="3" t="s">
        <v>1</v>
      </c>
      <c r="B2" s="3"/>
      <c r="C2" s="3"/>
      <c r="D2" s="3"/>
      <c r="E2" s="3"/>
      <c r="F2" s="3"/>
    </row>
    <row r="3" spans="1:6" ht="48" customHeight="1">
      <c r="A3" s="4" t="s">
        <v>358</v>
      </c>
      <c r="B3" s="4"/>
      <c r="C3" s="4"/>
      <c r="D3" s="4"/>
      <c r="E3" s="4"/>
      <c r="F3" s="4"/>
    </row>
    <row r="4" spans="1:6" ht="23" customHeight="1">
      <c r="A4" s="5" t="s">
        <v>3</v>
      </c>
    </row>
    <row r="5" spans="1:6" ht="35" customHeight="1">
      <c r="A5" s="6" t="s">
        <v>274</v>
      </c>
      <c r="B5" s="6" t="s">
        <v>275</v>
      </c>
      <c r="C5" s="6" t="s">
        <v>276</v>
      </c>
      <c r="D5" s="6" t="s">
        <v>277</v>
      </c>
      <c r="E5" s="6" t="s">
        <v>278</v>
      </c>
      <c r="F5" s="6" t="s">
        <v>8</v>
      </c>
    </row>
    <row r="6" spans="1:6" ht="58.2" customHeight="1">
      <c r="A6" s="7" t="s">
        <v>359</v>
      </c>
      <c r="B6" s="1" t="s">
        <v>360</v>
      </c>
      <c r="C6" s="1" t="s">
        <v>361</v>
      </c>
      <c r="D6" s="1" t="s">
        <v>362</v>
      </c>
      <c r="E6" s="1" t="s">
        <v>363</v>
      </c>
      <c r="F6" s="1" t="s">
        <v>364</v>
      </c>
    </row>
    <row r="7" spans="1:6" ht="58.2" customHeight="1">
      <c r="A7" s="8" t="s">
        <v>359</v>
      </c>
      <c r="B7" s="9" t="s">
        <v>365</v>
      </c>
      <c r="C7" s="9" t="s">
        <v>361</v>
      </c>
      <c r="D7" s="9" t="s">
        <v>366</v>
      </c>
      <c r="E7" s="9" t="s">
        <v>367</v>
      </c>
      <c r="F7" s="9" t="s">
        <v>368</v>
      </c>
    </row>
    <row r="8" spans="1:6" ht="58.2" customHeight="1">
      <c r="A8" s="7" t="s">
        <v>369</v>
      </c>
      <c r="B8" s="1" t="s">
        <v>370</v>
      </c>
      <c r="C8" s="1" t="s">
        <v>371</v>
      </c>
      <c r="D8" s="1" t="s">
        <v>372</v>
      </c>
      <c r="E8" s="1" t="s">
        <v>373</v>
      </c>
      <c r="F8" s="1" t="s">
        <v>374</v>
      </c>
    </row>
    <row r="9" spans="1:6" ht="58.2" customHeight="1">
      <c r="A9" s="8" t="s">
        <v>375</v>
      </c>
      <c r="B9" s="9" t="s">
        <v>376</v>
      </c>
      <c r="C9" s="9" t="s">
        <v>377</v>
      </c>
      <c r="D9" s="9" t="s">
        <v>378</v>
      </c>
      <c r="E9" s="9" t="s">
        <v>379</v>
      </c>
      <c r="F9" s="9" t="s">
        <v>380</v>
      </c>
    </row>
    <row r="10" spans="1:6" ht="58.2" customHeight="1">
      <c r="A10" s="7" t="s">
        <v>381</v>
      </c>
      <c r="B10" s="1" t="s">
        <v>382</v>
      </c>
      <c r="C10" s="1" t="s">
        <v>383</v>
      </c>
      <c r="D10" s="1" t="s">
        <v>384</v>
      </c>
      <c r="E10" s="1" t="s">
        <v>385</v>
      </c>
      <c r="F10" s="1" t="s">
        <v>380</v>
      </c>
    </row>
    <row r="11" spans="1:6" ht="58.2" customHeight="1">
      <c r="A11" s="8" t="s">
        <v>375</v>
      </c>
      <c r="B11" s="9" t="s">
        <v>386</v>
      </c>
      <c r="C11" s="9" t="s">
        <v>387</v>
      </c>
      <c r="D11" s="9" t="s">
        <v>388</v>
      </c>
      <c r="E11" s="9" t="s">
        <v>389</v>
      </c>
      <c r="F11" s="9" t="s">
        <v>380</v>
      </c>
    </row>
    <row r="12" spans="1:6" ht="58.2" customHeight="1">
      <c r="A12" s="7" t="s">
        <v>381</v>
      </c>
      <c r="B12" s="1" t="s">
        <v>390</v>
      </c>
      <c r="C12" s="1" t="s">
        <v>391</v>
      </c>
      <c r="D12" s="1" t="s">
        <v>392</v>
      </c>
      <c r="E12" s="1" t="s">
        <v>393</v>
      </c>
      <c r="F12" s="1" t="s">
        <v>394</v>
      </c>
    </row>
    <row r="13" spans="1:6" ht="73.6" customHeight="1">
      <c r="A13" s="8" t="s">
        <v>395</v>
      </c>
      <c r="B13" s="9" t="s">
        <v>396</v>
      </c>
      <c r="C13" s="9" t="s">
        <v>397</v>
      </c>
      <c r="D13" s="9" t="s">
        <v>398</v>
      </c>
      <c r="E13" s="9" t="s">
        <v>399</v>
      </c>
      <c r="F13" s="9" t="s">
        <v>380</v>
      </c>
    </row>
    <row r="14" spans="1:6" ht="58.2" customHeight="1">
      <c r="A14" s="7" t="s">
        <v>400</v>
      </c>
      <c r="B14" s="1" t="s">
        <v>401</v>
      </c>
      <c r="C14" s="1" t="s">
        <v>402</v>
      </c>
      <c r="D14" s="1" t="s">
        <v>403</v>
      </c>
      <c r="E14" s="1" t="s">
        <v>404</v>
      </c>
      <c r="F14" s="1" t="s">
        <v>405</v>
      </c>
    </row>
    <row r="15" spans="1:6" ht="58.2" customHeight="1">
      <c r="A15" s="8" t="s">
        <v>406</v>
      </c>
      <c r="B15" s="9" t="s">
        <v>407</v>
      </c>
      <c r="C15" s="9" t="s">
        <v>408</v>
      </c>
      <c r="D15" s="9" t="s">
        <v>409</v>
      </c>
      <c r="E15" s="9" t="s">
        <v>410</v>
      </c>
      <c r="F15" s="9" t="s">
        <v>380</v>
      </c>
    </row>
    <row r="16" spans="1:6" ht="73.6" customHeight="1">
      <c r="A16" s="7" t="s">
        <v>411</v>
      </c>
      <c r="B16" s="1" t="s">
        <v>412</v>
      </c>
      <c r="C16" s="1" t="s">
        <v>413</v>
      </c>
      <c r="D16" s="1" t="s">
        <v>414</v>
      </c>
      <c r="E16" s="1" t="s">
        <v>415</v>
      </c>
      <c r="F16" s="1" t="s">
        <v>380</v>
      </c>
    </row>
    <row r="17" spans="1:6" ht="58.2" customHeight="1">
      <c r="A17" s="8" t="s">
        <v>416</v>
      </c>
      <c r="B17" s="9" t="s">
        <v>417</v>
      </c>
      <c r="C17" s="9" t="s">
        <v>418</v>
      </c>
      <c r="D17" s="9" t="s">
        <v>419</v>
      </c>
      <c r="E17" s="9" t="s">
        <v>420</v>
      </c>
      <c r="F17" s="9" t="s">
        <v>380</v>
      </c>
    </row>
    <row r="18" spans="1:6" ht="44" customHeight="1">
      <c r="A18" s="7" t="s">
        <v>421</v>
      </c>
      <c r="B18" s="1" t="s">
        <v>422</v>
      </c>
      <c r="C18" s="1" t="s">
        <v>423</v>
      </c>
      <c r="D18" s="1" t="s">
        <v>424</v>
      </c>
      <c r="E18" s="1" t="s">
        <v>425</v>
      </c>
      <c r="F18" s="1" t="s">
        <v>380</v>
      </c>
    </row>
    <row r="19" spans="1:6" ht="89" customHeight="1">
      <c r="A19" s="8" t="s">
        <v>426</v>
      </c>
      <c r="B19" s="9" t="s">
        <v>427</v>
      </c>
      <c r="C19" s="9" t="s">
        <v>428</v>
      </c>
      <c r="D19" s="9" t="s">
        <v>429</v>
      </c>
      <c r="E19" s="9" t="s">
        <v>430</v>
      </c>
      <c r="F19" s="9" t="s">
        <v>431</v>
      </c>
    </row>
  </sheetData>
  <autoFilter ref="A5:F19"/>
  <mergeCells count="3">
    <mergeCell ref="A1:F1"/>
    <mergeCell ref="A2:F2"/>
    <mergeCell ref="A3:F3"/>
  </mergeCells>
  <hyperlinks>
    <hyperlink ref="A4" location="'00_案内'!A1" display="← 目次"/>
    <hyperlink ref="F6" location="'22_出典'!A11" display="S06 S07"/>
    <hyperlink ref="F7" location="'22_出典'!A12" display="S07"/>
    <hyperlink ref="F8" location="'22_出典'!A12" display="S07 S81"/>
    <hyperlink ref="F9" location="'22_出典'!A10" display="S05"/>
    <hyperlink ref="F10" location="'22_出典'!A10" display="S05"/>
    <hyperlink ref="F11" location="'22_出典'!A10" display="S05"/>
    <hyperlink ref="F12" location="'22_出典'!A10" display="S05 S54"/>
    <hyperlink ref="F13" location="'22_出典'!A10" display="S05"/>
    <hyperlink ref="F14" location="'22_出典'!A10" display="S05 S09"/>
    <hyperlink ref="F15" location="'22_出典'!A10" display="S05"/>
    <hyperlink ref="F16" location="'22_出典'!A10" display="S05"/>
    <hyperlink ref="F17" location="'22_出典'!A10" display="S05"/>
    <hyperlink ref="F18" location="'22_出典'!A10" display="S05"/>
    <hyperlink ref="F19" location="'22_出典'!A10" display="S05 S56"/>
  </hyperlinks>
  <pageMargins left="0.28" right="0.28" top="0.4" bottom="0.4" header="0.3" footer="0.3"/>
  <pageSetup paperSize="8" fitToHeight="0" orientation="landscape"/>
  <headerFooter>
    <oddHeader>&amp;L&amp;"Meiryo UI,Regular"&amp;9 AWS / JMeter / EAP 8.1 &amp;R2026-10-02</oddHeader>
    <oddFooter>&amp;L&amp;"Meiryo UI,Regular"&amp;8 公式資料の確認日を基準に記述　&amp;R&amp;P / &amp;N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777777"/>
    <pageSetUpPr fitToPage="1"/>
  </sheetPr>
  <dimension ref="A1:F23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2" customHeight="1"/>
  <cols>
    <col min="1" max="1" width="21.7109375" style="1" customWidth="1"/>
    <col min="2" max="2" width="39.7109375" style="1" customWidth="1"/>
    <col min="3" max="3" width="25.7109375" style="1" customWidth="1"/>
    <col min="4" max="4" width="39.7109375" style="1" customWidth="1"/>
    <col min="5" max="5" width="45.7109375" style="1" customWidth="1"/>
    <col min="6" max="6" width="12.7109375" style="1" customWidth="1"/>
  </cols>
  <sheetData>
    <row r="1" spans="1:6" ht="47" customHeight="1">
      <c r="A1" s="2" t="s">
        <v>432</v>
      </c>
      <c r="B1" s="2"/>
      <c r="C1" s="2"/>
      <c r="D1" s="2"/>
      <c r="E1" s="2"/>
      <c r="F1" s="2"/>
    </row>
    <row r="2" spans="1:6" ht="25" customHeight="1">
      <c r="A2" s="3" t="s">
        <v>1</v>
      </c>
      <c r="B2" s="3"/>
      <c r="C2" s="3"/>
      <c r="D2" s="3"/>
      <c r="E2" s="3"/>
      <c r="F2" s="3"/>
    </row>
    <row r="3" spans="1:6" ht="48" customHeight="1">
      <c r="A3" s="4" t="s">
        <v>433</v>
      </c>
      <c r="B3" s="4"/>
      <c r="C3" s="4"/>
      <c r="D3" s="4"/>
      <c r="E3" s="4"/>
      <c r="F3" s="4"/>
    </row>
    <row r="4" spans="1:6" ht="23" customHeight="1">
      <c r="A4" s="5" t="s">
        <v>3</v>
      </c>
    </row>
    <row r="5" spans="1:6" ht="35" customHeight="1">
      <c r="A5" s="6" t="s">
        <v>274</v>
      </c>
      <c r="B5" s="6" t="s">
        <v>275</v>
      </c>
      <c r="C5" s="6" t="s">
        <v>276</v>
      </c>
      <c r="D5" s="6" t="s">
        <v>277</v>
      </c>
      <c r="E5" s="6" t="s">
        <v>278</v>
      </c>
      <c r="F5" s="6" t="s">
        <v>8</v>
      </c>
    </row>
    <row r="6" spans="1:6" ht="44" customHeight="1">
      <c r="A6" s="7" t="s">
        <v>434</v>
      </c>
      <c r="B6" s="1" t="s">
        <v>435</v>
      </c>
      <c r="C6" s="1" t="s">
        <v>361</v>
      </c>
      <c r="D6" s="1" t="s">
        <v>436</v>
      </c>
      <c r="E6" s="1" t="s">
        <v>437</v>
      </c>
      <c r="F6" s="1" t="s">
        <v>438</v>
      </c>
    </row>
    <row r="7" spans="1:6" ht="58.2" customHeight="1">
      <c r="A7" s="8" t="s">
        <v>434</v>
      </c>
      <c r="B7" s="9" t="s">
        <v>439</v>
      </c>
      <c r="C7" s="9" t="s">
        <v>440</v>
      </c>
      <c r="D7" s="9" t="s">
        <v>441</v>
      </c>
      <c r="E7" s="9" t="s">
        <v>442</v>
      </c>
      <c r="F7" s="9" t="s">
        <v>443</v>
      </c>
    </row>
    <row r="8" spans="1:6" ht="58.2" customHeight="1">
      <c r="A8" s="7" t="s">
        <v>434</v>
      </c>
      <c r="B8" s="1" t="s">
        <v>444</v>
      </c>
      <c r="C8" s="1" t="s">
        <v>445</v>
      </c>
      <c r="D8" s="1" t="s">
        <v>446</v>
      </c>
      <c r="E8" s="1" t="s">
        <v>447</v>
      </c>
      <c r="F8" s="1" t="s">
        <v>448</v>
      </c>
    </row>
    <row r="9" spans="1:6" ht="73.6" customHeight="1">
      <c r="A9" s="8" t="s">
        <v>449</v>
      </c>
      <c r="B9" s="9" t="s">
        <v>450</v>
      </c>
      <c r="C9" s="9" t="s">
        <v>451</v>
      </c>
      <c r="D9" s="9" t="s">
        <v>452</v>
      </c>
      <c r="E9" s="9" t="s">
        <v>453</v>
      </c>
      <c r="F9" s="9" t="s">
        <v>448</v>
      </c>
    </row>
    <row r="10" spans="1:6" ht="73.6" customHeight="1">
      <c r="A10" s="7" t="s">
        <v>454</v>
      </c>
      <c r="B10" s="1" t="s">
        <v>455</v>
      </c>
      <c r="C10" s="1" t="s">
        <v>456</v>
      </c>
      <c r="D10" s="1" t="s">
        <v>457</v>
      </c>
      <c r="E10" s="1" t="s">
        <v>458</v>
      </c>
      <c r="F10" s="1" t="s">
        <v>448</v>
      </c>
    </row>
    <row r="11" spans="1:6" ht="58.2" customHeight="1">
      <c r="A11" s="8" t="s">
        <v>459</v>
      </c>
      <c r="B11" s="9" t="s">
        <v>460</v>
      </c>
      <c r="C11" s="9" t="s">
        <v>461</v>
      </c>
      <c r="D11" s="9" t="s">
        <v>462</v>
      </c>
      <c r="E11" s="9" t="s">
        <v>463</v>
      </c>
      <c r="F11" s="9" t="s">
        <v>233</v>
      </c>
    </row>
    <row r="12" spans="1:6" ht="58.2" customHeight="1">
      <c r="A12" s="7" t="s">
        <v>464</v>
      </c>
      <c r="B12" s="1" t="s">
        <v>465</v>
      </c>
      <c r="C12" s="1" t="s">
        <v>466</v>
      </c>
      <c r="D12" s="1" t="s">
        <v>467</v>
      </c>
      <c r="E12" s="1" t="s">
        <v>468</v>
      </c>
      <c r="F12" s="1" t="s">
        <v>469</v>
      </c>
    </row>
    <row r="13" spans="1:6" ht="58.2" customHeight="1">
      <c r="A13" s="8" t="s">
        <v>470</v>
      </c>
      <c r="B13" s="9" t="s">
        <v>471</v>
      </c>
      <c r="C13" s="9" t="s">
        <v>472</v>
      </c>
      <c r="D13" s="9" t="s">
        <v>473</v>
      </c>
      <c r="E13" s="9" t="s">
        <v>474</v>
      </c>
      <c r="F13" s="9" t="s">
        <v>475</v>
      </c>
    </row>
    <row r="14" spans="1:6" ht="89" customHeight="1">
      <c r="A14" s="7" t="s">
        <v>476</v>
      </c>
      <c r="B14" s="1" t="s">
        <v>477</v>
      </c>
      <c r="C14" s="1" t="s">
        <v>478</v>
      </c>
      <c r="D14" s="1" t="s">
        <v>479</v>
      </c>
      <c r="E14" s="1" t="s">
        <v>480</v>
      </c>
      <c r="F14" s="1" t="s">
        <v>481</v>
      </c>
    </row>
    <row r="15" spans="1:6" ht="58.2" customHeight="1">
      <c r="A15" s="8" t="s">
        <v>482</v>
      </c>
      <c r="B15" s="9" t="s">
        <v>483</v>
      </c>
      <c r="C15" s="9" t="s">
        <v>361</v>
      </c>
      <c r="D15" s="9" t="s">
        <v>484</v>
      </c>
      <c r="E15" s="9" t="s">
        <v>485</v>
      </c>
      <c r="F15" s="9" t="s">
        <v>486</v>
      </c>
    </row>
    <row r="16" spans="1:6" ht="58.2" customHeight="1">
      <c r="A16" s="7" t="s">
        <v>482</v>
      </c>
      <c r="B16" s="1" t="s">
        <v>487</v>
      </c>
      <c r="C16" s="1" t="s">
        <v>488</v>
      </c>
      <c r="D16" s="1" t="s">
        <v>489</v>
      </c>
      <c r="E16" s="1" t="s">
        <v>490</v>
      </c>
      <c r="F16" s="1" t="s">
        <v>486</v>
      </c>
    </row>
    <row r="17" spans="1:6" ht="89" customHeight="1">
      <c r="A17" s="8" t="s">
        <v>482</v>
      </c>
      <c r="B17" s="9" t="s">
        <v>491</v>
      </c>
      <c r="C17" s="9" t="s">
        <v>492</v>
      </c>
      <c r="D17" s="9" t="s">
        <v>493</v>
      </c>
      <c r="E17" s="9" t="s">
        <v>494</v>
      </c>
      <c r="F17" s="9" t="s">
        <v>486</v>
      </c>
    </row>
    <row r="18" spans="1:6" ht="58.2" customHeight="1">
      <c r="A18" s="7" t="s">
        <v>495</v>
      </c>
      <c r="B18" s="1" t="s">
        <v>496</v>
      </c>
      <c r="C18" s="1" t="s">
        <v>497</v>
      </c>
      <c r="D18" s="1" t="s">
        <v>498</v>
      </c>
      <c r="E18" s="1" t="s">
        <v>499</v>
      </c>
      <c r="F18" s="1" t="s">
        <v>500</v>
      </c>
    </row>
    <row r="19" spans="1:6" ht="89" customHeight="1">
      <c r="A19" s="8" t="s">
        <v>495</v>
      </c>
      <c r="B19" s="9" t="s">
        <v>501</v>
      </c>
      <c r="C19" s="9" t="s">
        <v>440</v>
      </c>
      <c r="D19" s="9" t="s">
        <v>502</v>
      </c>
      <c r="E19" s="9" t="s">
        <v>503</v>
      </c>
      <c r="F19" s="9" t="s">
        <v>500</v>
      </c>
    </row>
    <row r="20" spans="1:6" ht="58.2" customHeight="1">
      <c r="A20" s="7" t="s">
        <v>504</v>
      </c>
      <c r="B20" s="1" t="s">
        <v>505</v>
      </c>
      <c r="C20" s="1" t="s">
        <v>506</v>
      </c>
      <c r="D20" s="1" t="s">
        <v>507</v>
      </c>
      <c r="E20" s="1" t="s">
        <v>508</v>
      </c>
      <c r="F20" s="1" t="s">
        <v>509</v>
      </c>
    </row>
    <row r="21" spans="1:6" ht="73.6" customHeight="1">
      <c r="A21" s="8" t="s">
        <v>510</v>
      </c>
      <c r="B21" s="9" t="s">
        <v>511</v>
      </c>
      <c r="C21" s="9" t="s">
        <v>512</v>
      </c>
      <c r="D21" s="9" t="s">
        <v>513</v>
      </c>
      <c r="E21" s="9" t="s">
        <v>514</v>
      </c>
      <c r="F21" s="9" t="s">
        <v>515</v>
      </c>
    </row>
    <row r="22" spans="1:6" ht="73.6" customHeight="1">
      <c r="A22" s="7" t="s">
        <v>516</v>
      </c>
      <c r="B22" s="1" t="s">
        <v>517</v>
      </c>
      <c r="C22" s="1" t="s">
        <v>518</v>
      </c>
      <c r="D22" s="1" t="s">
        <v>519</v>
      </c>
      <c r="E22" s="1" t="s">
        <v>520</v>
      </c>
      <c r="F22" s="1" t="s">
        <v>521</v>
      </c>
    </row>
    <row r="23" spans="1:6" ht="73.6" customHeight="1">
      <c r="A23" s="8" t="s">
        <v>522</v>
      </c>
      <c r="B23" s="9" t="s">
        <v>523</v>
      </c>
      <c r="C23" s="9" t="s">
        <v>524</v>
      </c>
      <c r="D23" s="9" t="s">
        <v>525</v>
      </c>
      <c r="E23" s="9" t="s">
        <v>526</v>
      </c>
      <c r="F23" s="9" t="s">
        <v>527</v>
      </c>
    </row>
  </sheetData>
  <autoFilter ref="A5:F23"/>
  <mergeCells count="3">
    <mergeCell ref="A1:F1"/>
    <mergeCell ref="A2:F2"/>
    <mergeCell ref="A3:F3"/>
  </mergeCells>
  <hyperlinks>
    <hyperlink ref="A4" location="'00_案内'!A1" display="← 目次"/>
    <hyperlink ref="F6" location="'22_出典'!A22" display="S17 S20"/>
    <hyperlink ref="F7" location="'22_出典'!A22" display="S17 S50"/>
    <hyperlink ref="F8" location="'22_出典'!A22" display="S17"/>
    <hyperlink ref="F9" location="'22_出典'!A22" display="S17"/>
    <hyperlink ref="F10" location="'22_出典'!A22" display="S17"/>
    <hyperlink ref="F11" location="'22_出典'!A24" display="S19 S20"/>
    <hyperlink ref="F12" location="'22_出典'!A22" display="S17 S18"/>
    <hyperlink ref="F13" location="'22_出典'!A23" display="S18"/>
    <hyperlink ref="F14" location="'22_出典'!A28" display="S23"/>
    <hyperlink ref="F15" location="'22_出典'!A29" display="S24"/>
    <hyperlink ref="F16" location="'22_出典'!A29" display="S24"/>
    <hyperlink ref="F17" location="'22_出典'!A29" display="S24"/>
    <hyperlink ref="F18" location="'22_出典'!A33" display="S28"/>
    <hyperlink ref="F19" location="'22_出典'!A33" display="S28"/>
    <hyperlink ref="F20" location="'22_出典'!A34" display="S29"/>
    <hyperlink ref="F21" location="'22_出典'!A35" display="S30"/>
    <hyperlink ref="F22" location="'22_出典'!A36" display="S31"/>
    <hyperlink ref="F23" location="'22_出典'!A37" display="S32"/>
  </hyperlinks>
  <pageMargins left="0.28" right="0.28" top="0.4" bottom="0.4" header="0.3" footer="0.3"/>
  <pageSetup paperSize="8" fitToHeight="0" orientation="landscape"/>
  <headerFooter>
    <oddHeader>&amp;L&amp;"Meiryo UI,Regular"&amp;9 AWS / JMeter / EAP 8.1 &amp;R2026-10-02</oddHeader>
    <oddFooter>&amp;L&amp;"Meiryo UI,Regular"&amp;8 公式資料の確認日を基準に記述　&amp;R&amp;P / &amp;N</oddFooter>
  </headerFooter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777777"/>
    <pageSetUpPr fitToPage="1"/>
  </sheetPr>
  <dimension ref="A1:F23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2" customHeight="1"/>
  <cols>
    <col min="1" max="1" width="21.7109375" style="1" customWidth="1"/>
    <col min="2" max="2" width="39.7109375" style="1" customWidth="1"/>
    <col min="3" max="3" width="25.7109375" style="1" customWidth="1"/>
    <col min="4" max="4" width="39.7109375" style="1" customWidth="1"/>
    <col min="5" max="5" width="45.7109375" style="1" customWidth="1"/>
    <col min="6" max="6" width="12.7109375" style="1" customWidth="1"/>
  </cols>
  <sheetData>
    <row r="1" spans="1:6" ht="47" customHeight="1">
      <c r="A1" s="2" t="s">
        <v>528</v>
      </c>
      <c r="B1" s="2"/>
      <c r="C1" s="2"/>
      <c r="D1" s="2"/>
      <c r="E1" s="2"/>
      <c r="F1" s="2"/>
    </row>
    <row r="2" spans="1:6" ht="25" customHeight="1">
      <c r="A2" s="3" t="s">
        <v>1</v>
      </c>
      <c r="B2" s="3"/>
      <c r="C2" s="3"/>
      <c r="D2" s="3"/>
      <c r="E2" s="3"/>
      <c r="F2" s="3"/>
    </row>
    <row r="3" spans="1:6" ht="48" customHeight="1">
      <c r="A3" s="4" t="s">
        <v>529</v>
      </c>
      <c r="B3" s="4"/>
      <c r="C3" s="4"/>
      <c r="D3" s="4"/>
      <c r="E3" s="4"/>
      <c r="F3" s="4"/>
    </row>
    <row r="4" spans="1:6" ht="23" customHeight="1">
      <c r="A4" s="5" t="s">
        <v>3</v>
      </c>
    </row>
    <row r="5" spans="1:6" ht="35" customHeight="1">
      <c r="A5" s="6" t="s">
        <v>274</v>
      </c>
      <c r="B5" s="6" t="s">
        <v>275</v>
      </c>
      <c r="C5" s="6" t="s">
        <v>276</v>
      </c>
      <c r="D5" s="6" t="s">
        <v>277</v>
      </c>
      <c r="E5" s="6" t="s">
        <v>278</v>
      </c>
      <c r="F5" s="6" t="s">
        <v>8</v>
      </c>
    </row>
    <row r="6" spans="1:6" ht="58.2" customHeight="1">
      <c r="A6" s="7" t="s">
        <v>530</v>
      </c>
      <c r="B6" s="1" t="s">
        <v>531</v>
      </c>
      <c r="C6" s="1" t="s">
        <v>532</v>
      </c>
      <c r="D6" s="1" t="s">
        <v>533</v>
      </c>
      <c r="E6" s="1" t="s">
        <v>534</v>
      </c>
      <c r="F6" s="1" t="s">
        <v>535</v>
      </c>
    </row>
    <row r="7" spans="1:6" ht="58.2" customHeight="1">
      <c r="A7" s="8" t="s">
        <v>536</v>
      </c>
      <c r="B7" s="9" t="s">
        <v>537</v>
      </c>
      <c r="C7" s="9" t="s">
        <v>532</v>
      </c>
      <c r="D7" s="9" t="s">
        <v>538</v>
      </c>
      <c r="E7" s="9" t="s">
        <v>539</v>
      </c>
      <c r="F7" s="9" t="s">
        <v>540</v>
      </c>
    </row>
    <row r="8" spans="1:6" ht="58.2" customHeight="1">
      <c r="A8" s="7" t="s">
        <v>541</v>
      </c>
      <c r="B8" s="1" t="s">
        <v>542</v>
      </c>
      <c r="C8" s="1" t="s">
        <v>532</v>
      </c>
      <c r="D8" s="1" t="s">
        <v>543</v>
      </c>
      <c r="E8" s="1" t="s">
        <v>544</v>
      </c>
      <c r="F8" s="1" t="s">
        <v>545</v>
      </c>
    </row>
    <row r="9" spans="1:6" ht="58.2" customHeight="1">
      <c r="A9" s="8" t="s">
        <v>546</v>
      </c>
      <c r="B9" s="9" t="s">
        <v>547</v>
      </c>
      <c r="C9" s="9" t="s">
        <v>532</v>
      </c>
      <c r="D9" s="9" t="s">
        <v>548</v>
      </c>
      <c r="E9" s="9" t="s">
        <v>549</v>
      </c>
      <c r="F9" s="9" t="s">
        <v>550</v>
      </c>
    </row>
    <row r="10" spans="1:6" ht="58.2" customHeight="1">
      <c r="A10" s="7" t="s">
        <v>551</v>
      </c>
      <c r="B10" s="1" t="s">
        <v>552</v>
      </c>
      <c r="C10" s="1" t="s">
        <v>532</v>
      </c>
      <c r="D10" s="1" t="s">
        <v>553</v>
      </c>
      <c r="E10" s="1" t="s">
        <v>554</v>
      </c>
      <c r="F10" s="1" t="s">
        <v>555</v>
      </c>
    </row>
    <row r="11" spans="1:6" ht="58.2" customHeight="1">
      <c r="A11" s="8" t="s">
        <v>556</v>
      </c>
      <c r="B11" s="9" t="s">
        <v>557</v>
      </c>
      <c r="C11" s="9" t="s">
        <v>558</v>
      </c>
      <c r="D11" s="9" t="s">
        <v>559</v>
      </c>
      <c r="E11" s="9" t="s">
        <v>560</v>
      </c>
      <c r="F11" s="9" t="s">
        <v>545</v>
      </c>
    </row>
    <row r="12" spans="1:6" ht="44" customHeight="1">
      <c r="A12" s="7" t="s">
        <v>561</v>
      </c>
      <c r="B12" s="1" t="s">
        <v>562</v>
      </c>
      <c r="C12" s="1" t="s">
        <v>563</v>
      </c>
      <c r="D12" s="1" t="s">
        <v>564</v>
      </c>
      <c r="E12" s="1" t="s">
        <v>565</v>
      </c>
      <c r="F12" s="1" t="s">
        <v>540</v>
      </c>
    </row>
    <row r="13" spans="1:6" ht="58.2" customHeight="1">
      <c r="A13" s="8" t="s">
        <v>566</v>
      </c>
      <c r="B13" s="9" t="s">
        <v>567</v>
      </c>
      <c r="C13" s="9" t="s">
        <v>568</v>
      </c>
      <c r="D13" s="9" t="s">
        <v>569</v>
      </c>
      <c r="E13" s="9" t="s">
        <v>570</v>
      </c>
      <c r="F13" s="9" t="s">
        <v>540</v>
      </c>
    </row>
    <row r="14" spans="1:6" ht="58.2" customHeight="1">
      <c r="A14" s="7" t="s">
        <v>566</v>
      </c>
      <c r="B14" s="1" t="s">
        <v>571</v>
      </c>
      <c r="C14" s="1" t="s">
        <v>568</v>
      </c>
      <c r="D14" s="1" t="s">
        <v>572</v>
      </c>
      <c r="E14" s="1" t="s">
        <v>573</v>
      </c>
      <c r="F14" s="1" t="s">
        <v>545</v>
      </c>
    </row>
    <row r="15" spans="1:6" ht="44" customHeight="1">
      <c r="A15" s="8" t="s">
        <v>574</v>
      </c>
      <c r="B15" s="9" t="s">
        <v>575</v>
      </c>
      <c r="C15" s="9" t="s">
        <v>576</v>
      </c>
      <c r="D15" s="9" t="s">
        <v>577</v>
      </c>
      <c r="E15" s="9" t="s">
        <v>578</v>
      </c>
      <c r="F15" s="9" t="s">
        <v>579</v>
      </c>
    </row>
    <row r="16" spans="1:6" ht="44" customHeight="1">
      <c r="A16" s="7" t="s">
        <v>580</v>
      </c>
      <c r="B16" s="1" t="s">
        <v>581</v>
      </c>
      <c r="C16" s="1" t="s">
        <v>582</v>
      </c>
      <c r="D16" s="1" t="s">
        <v>583</v>
      </c>
      <c r="E16" s="1" t="s">
        <v>584</v>
      </c>
      <c r="F16" s="1" t="s">
        <v>535</v>
      </c>
    </row>
    <row r="17" spans="1:6" ht="58.2" customHeight="1">
      <c r="A17" s="8" t="s">
        <v>585</v>
      </c>
      <c r="B17" s="9" t="s">
        <v>586</v>
      </c>
      <c r="C17" s="9" t="s">
        <v>587</v>
      </c>
      <c r="D17" s="9" t="s">
        <v>588</v>
      </c>
      <c r="E17" s="9" t="s">
        <v>589</v>
      </c>
      <c r="F17" s="9" t="s">
        <v>540</v>
      </c>
    </row>
    <row r="18" spans="1:6" ht="58.2" customHeight="1">
      <c r="A18" s="7" t="s">
        <v>590</v>
      </c>
      <c r="B18" s="1" t="s">
        <v>591</v>
      </c>
      <c r="C18" s="1" t="s">
        <v>592</v>
      </c>
      <c r="D18" s="1" t="s">
        <v>593</v>
      </c>
      <c r="E18" s="1" t="s">
        <v>594</v>
      </c>
      <c r="F18" s="1" t="s">
        <v>595</v>
      </c>
    </row>
    <row r="19" spans="1:6" ht="58.2" customHeight="1">
      <c r="A19" s="8" t="s">
        <v>596</v>
      </c>
      <c r="B19" s="9" t="s">
        <v>597</v>
      </c>
      <c r="C19" s="9" t="s">
        <v>532</v>
      </c>
      <c r="D19" s="9" t="s">
        <v>598</v>
      </c>
      <c r="E19" s="9" t="s">
        <v>599</v>
      </c>
      <c r="F19" s="9" t="s">
        <v>600</v>
      </c>
    </row>
    <row r="20" spans="1:6" ht="44" customHeight="1">
      <c r="A20" s="7" t="s">
        <v>601</v>
      </c>
      <c r="B20" s="1" t="s">
        <v>602</v>
      </c>
      <c r="C20" s="1" t="s">
        <v>603</v>
      </c>
      <c r="D20" s="1" t="s">
        <v>604</v>
      </c>
      <c r="E20" s="1" t="s">
        <v>605</v>
      </c>
      <c r="F20" s="1" t="s">
        <v>606</v>
      </c>
    </row>
    <row r="21" spans="1:6" ht="73.6" customHeight="1">
      <c r="A21" s="8" t="s">
        <v>607</v>
      </c>
      <c r="B21" s="9" t="s">
        <v>608</v>
      </c>
      <c r="C21" s="9" t="s">
        <v>609</v>
      </c>
      <c r="D21" s="9" t="s">
        <v>610</v>
      </c>
      <c r="E21" s="9" t="s">
        <v>611</v>
      </c>
      <c r="F21" s="9" t="s">
        <v>612</v>
      </c>
    </row>
    <row r="22" spans="1:6" ht="44" customHeight="1">
      <c r="A22" s="7" t="s">
        <v>613</v>
      </c>
      <c r="B22" s="1" t="s">
        <v>614</v>
      </c>
      <c r="C22" s="1" t="s">
        <v>615</v>
      </c>
      <c r="D22" s="1" t="s">
        <v>616</v>
      </c>
      <c r="E22" s="1" t="s">
        <v>617</v>
      </c>
      <c r="F22" s="1" t="s">
        <v>618</v>
      </c>
    </row>
    <row r="23" spans="1:6" ht="73.6" customHeight="1">
      <c r="A23" s="8" t="s">
        <v>619</v>
      </c>
      <c r="B23" s="9" t="s">
        <v>620</v>
      </c>
      <c r="C23" s="9" t="s">
        <v>621</v>
      </c>
      <c r="D23" s="9" t="s">
        <v>622</v>
      </c>
      <c r="E23" s="9" t="s">
        <v>623</v>
      </c>
      <c r="F23" s="9" t="s">
        <v>624</v>
      </c>
    </row>
  </sheetData>
  <autoFilter ref="A5:F23"/>
  <mergeCells count="3">
    <mergeCell ref="A1:F1"/>
    <mergeCell ref="A2:F2"/>
    <mergeCell ref="A3:F3"/>
  </mergeCells>
  <hyperlinks>
    <hyperlink ref="A4" location="'00_案内'!A1" display="← 目次"/>
    <hyperlink ref="F6" location="'22_出典'!A6" display="S01 S54"/>
    <hyperlink ref="F7" location="'22_出典'!A6" display="S01"/>
    <hyperlink ref="F8" location="'22_出典'!A6" display="S01 S48"/>
    <hyperlink ref="F9" location="'22_出典'!A6" display="S01 S56"/>
    <hyperlink ref="F10" location="'22_出典'!A6" display="S01 S54 S57"/>
    <hyperlink ref="F11" location="'22_出典'!A6" display="S01 S48"/>
    <hyperlink ref="F12" location="'22_出典'!A6" display="S01"/>
    <hyperlink ref="F13" location="'22_出典'!A6" display="S01"/>
    <hyperlink ref="F14" location="'22_出典'!A6" display="S01 S48"/>
    <hyperlink ref="F15" location="'22_出典'!A6" display="S01 S55"/>
    <hyperlink ref="F16" location="'22_出典'!A6" display="S01 S54"/>
    <hyperlink ref="F17" location="'22_出典'!A6" display="S01"/>
    <hyperlink ref="F18" location="'22_出典'!A6" display="S01 S53 S56"/>
    <hyperlink ref="F19" location="'22_出典'!A58" display="S53"/>
    <hyperlink ref="F20" location="'22_出典'!A52" display="S47 S54"/>
    <hyperlink ref="F21" location="'22_出典'!A61" display="S56 S57"/>
    <hyperlink ref="F22" location="'22_出典'!A60" display="S55 S56"/>
    <hyperlink ref="F23" location="'22_出典'!A46" display="S41 S42"/>
  </hyperlinks>
  <pageMargins left="0.28" right="0.28" top="0.4" bottom="0.4" header="0.3" footer="0.3"/>
  <pageSetup paperSize="8" fitToHeight="0" orientation="landscape"/>
  <headerFooter>
    <oddHeader>&amp;L&amp;"Meiryo UI,Regular"&amp;9 AWS / JMeter / EAP 8.1 &amp;R2026-10-02</oddHeader>
    <oddFooter>&amp;L&amp;"Meiryo UI,Regular"&amp;8 公式資料の確認日を基準に記述　&amp;R&amp;P / &amp;N</oddFooter>
  </headerFooter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777777"/>
    <pageSetUpPr fitToPage="1"/>
  </sheetPr>
  <dimension ref="A1:E24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2" customHeight="1"/>
  <cols>
    <col min="1" max="1" width="25.7109375" style="1" customWidth="1"/>
    <col min="2" max="2" width="37.7109375" style="1" customWidth="1"/>
    <col min="3" max="3" width="49.7109375" style="1" customWidth="1"/>
    <col min="4" max="4" width="47.7109375" style="1" customWidth="1"/>
    <col min="5" max="5" width="12.7109375" style="1" customWidth="1"/>
  </cols>
  <sheetData>
    <row r="1" spans="1:5" ht="47" customHeight="1">
      <c r="A1" s="2" t="s">
        <v>625</v>
      </c>
      <c r="B1" s="2"/>
      <c r="C1" s="2"/>
      <c r="D1" s="2"/>
      <c r="E1" s="2"/>
    </row>
    <row r="2" spans="1:5" ht="25" customHeight="1">
      <c r="A2" s="3" t="s">
        <v>1</v>
      </c>
      <c r="B2" s="3"/>
      <c r="C2" s="3"/>
      <c r="D2" s="3"/>
      <c r="E2" s="3"/>
    </row>
    <row r="3" spans="1:5" ht="48" customHeight="1">
      <c r="A3" s="4" t="s">
        <v>626</v>
      </c>
      <c r="B3" s="4"/>
      <c r="C3" s="4"/>
      <c r="D3" s="4"/>
      <c r="E3" s="4"/>
    </row>
    <row r="4" spans="1:5" ht="23" customHeight="1">
      <c r="A4" s="5" t="s">
        <v>3</v>
      </c>
    </row>
    <row r="5" spans="1:5" ht="35" customHeight="1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</row>
    <row r="6" spans="1:5" ht="58.2" customHeight="1">
      <c r="A6" s="7" t="s">
        <v>627</v>
      </c>
      <c r="B6" s="1" t="s">
        <v>628</v>
      </c>
      <c r="C6" s="1" t="s">
        <v>629</v>
      </c>
      <c r="D6" s="1" t="s">
        <v>630</v>
      </c>
      <c r="E6" s="1" t="s">
        <v>631</v>
      </c>
    </row>
    <row r="7" spans="1:5" ht="58.2" customHeight="1">
      <c r="A7" s="8" t="s">
        <v>632</v>
      </c>
      <c r="B7" s="9" t="s">
        <v>633</v>
      </c>
      <c r="C7" s="9" t="s">
        <v>634</v>
      </c>
      <c r="D7" s="9" t="s">
        <v>635</v>
      </c>
      <c r="E7" s="9" t="s">
        <v>636</v>
      </c>
    </row>
    <row r="8" spans="1:5" ht="58.2" customHeight="1">
      <c r="A8" s="7" t="s">
        <v>637</v>
      </c>
      <c r="B8" s="1" t="s">
        <v>638</v>
      </c>
      <c r="C8" s="1" t="s">
        <v>639</v>
      </c>
      <c r="D8" s="1" t="s">
        <v>640</v>
      </c>
      <c r="E8" s="1" t="s">
        <v>600</v>
      </c>
    </row>
    <row r="9" spans="1:5" ht="58.2" customHeight="1">
      <c r="A9" s="8" t="s">
        <v>641</v>
      </c>
      <c r="B9" s="9" t="s">
        <v>642</v>
      </c>
      <c r="C9" s="9" t="s">
        <v>643</v>
      </c>
      <c r="D9" s="9" t="s">
        <v>644</v>
      </c>
      <c r="E9" s="9" t="s">
        <v>645</v>
      </c>
    </row>
    <row r="10" spans="1:5" ht="44" customHeight="1">
      <c r="A10" s="7" t="s">
        <v>646</v>
      </c>
      <c r="B10" s="1" t="s">
        <v>647</v>
      </c>
      <c r="C10" s="1" t="s">
        <v>648</v>
      </c>
      <c r="D10" s="1" t="s">
        <v>649</v>
      </c>
      <c r="E10" s="1" t="s">
        <v>650</v>
      </c>
    </row>
    <row r="11" spans="1:5" ht="58.2" customHeight="1">
      <c r="A11" s="8" t="s">
        <v>651</v>
      </c>
      <c r="B11" s="9" t="s">
        <v>652</v>
      </c>
      <c r="C11" s="9" t="s">
        <v>653</v>
      </c>
      <c r="D11" s="9" t="s">
        <v>654</v>
      </c>
      <c r="E11" s="9" t="s">
        <v>636</v>
      </c>
    </row>
    <row r="12" spans="1:5" ht="44" customHeight="1">
      <c r="A12" s="7" t="s">
        <v>655</v>
      </c>
      <c r="B12" s="1" t="s">
        <v>656</v>
      </c>
      <c r="C12" s="1" t="s">
        <v>657</v>
      </c>
      <c r="D12" s="1" t="s">
        <v>658</v>
      </c>
      <c r="E12" s="1" t="s">
        <v>659</v>
      </c>
    </row>
    <row r="13" spans="1:5" ht="58.2" customHeight="1">
      <c r="A13" s="8" t="s">
        <v>660</v>
      </c>
      <c r="B13" s="9" t="s">
        <v>661</v>
      </c>
      <c r="C13" s="9" t="s">
        <v>662</v>
      </c>
      <c r="D13" s="9" t="s">
        <v>663</v>
      </c>
      <c r="E13" s="9" t="s">
        <v>664</v>
      </c>
    </row>
    <row r="14" spans="1:5" ht="58.2" customHeight="1">
      <c r="A14" s="7" t="s">
        <v>665</v>
      </c>
      <c r="B14" s="1" t="s">
        <v>666</v>
      </c>
      <c r="C14" s="1" t="s">
        <v>667</v>
      </c>
      <c r="D14" s="1" t="s">
        <v>668</v>
      </c>
      <c r="E14" s="1" t="s">
        <v>550</v>
      </c>
    </row>
    <row r="15" spans="1:5" ht="58.2" customHeight="1">
      <c r="A15" s="8" t="s">
        <v>669</v>
      </c>
      <c r="B15" s="9" t="s">
        <v>670</v>
      </c>
      <c r="C15" s="9" t="s">
        <v>671</v>
      </c>
      <c r="D15" s="9" t="s">
        <v>672</v>
      </c>
      <c r="E15" s="9" t="s">
        <v>659</v>
      </c>
    </row>
    <row r="16" spans="1:5" ht="44" customHeight="1">
      <c r="A16" s="7" t="s">
        <v>673</v>
      </c>
      <c r="B16" s="1" t="s">
        <v>674</v>
      </c>
      <c r="C16" s="1" t="s">
        <v>675</v>
      </c>
      <c r="D16" s="1" t="s">
        <v>676</v>
      </c>
      <c r="E16" s="1" t="s">
        <v>677</v>
      </c>
    </row>
    <row r="17" spans="1:5" ht="44" customHeight="1">
      <c r="A17" s="8" t="s">
        <v>678</v>
      </c>
      <c r="B17" s="9" t="s">
        <v>679</v>
      </c>
      <c r="C17" s="9" t="s">
        <v>680</v>
      </c>
      <c r="D17" s="9" t="s">
        <v>681</v>
      </c>
      <c r="E17" s="9" t="s">
        <v>535</v>
      </c>
    </row>
    <row r="18" spans="1:5" ht="58.2" customHeight="1">
      <c r="A18" s="7" t="s">
        <v>682</v>
      </c>
      <c r="B18" s="1" t="s">
        <v>683</v>
      </c>
      <c r="C18" s="1" t="s">
        <v>684</v>
      </c>
      <c r="D18" s="1" t="s">
        <v>685</v>
      </c>
      <c r="E18" s="1" t="s">
        <v>686</v>
      </c>
    </row>
    <row r="19" spans="1:5" ht="58.2" customHeight="1">
      <c r="A19" s="8" t="s">
        <v>687</v>
      </c>
      <c r="B19" s="9" t="s">
        <v>688</v>
      </c>
      <c r="C19" s="9" t="s">
        <v>689</v>
      </c>
      <c r="D19" s="9" t="s">
        <v>690</v>
      </c>
      <c r="E19" s="9" t="s">
        <v>691</v>
      </c>
    </row>
    <row r="20" spans="1:5" ht="58.2" customHeight="1">
      <c r="A20" s="7" t="s">
        <v>692</v>
      </c>
      <c r="B20" s="1" t="s">
        <v>693</v>
      </c>
      <c r="C20" s="1" t="s">
        <v>694</v>
      </c>
      <c r="D20" s="1" t="s">
        <v>695</v>
      </c>
      <c r="E20" s="1" t="s">
        <v>664</v>
      </c>
    </row>
    <row r="21" spans="1:5" ht="58.2" customHeight="1">
      <c r="A21" s="8" t="s">
        <v>696</v>
      </c>
      <c r="B21" s="9" t="s">
        <v>697</v>
      </c>
      <c r="C21" s="9" t="s">
        <v>698</v>
      </c>
      <c r="D21" s="9" t="s">
        <v>699</v>
      </c>
      <c r="E21" s="9" t="s">
        <v>700</v>
      </c>
    </row>
    <row r="22" spans="1:5" ht="58.2" customHeight="1">
      <c r="A22" s="7" t="s">
        <v>701</v>
      </c>
      <c r="B22" s="1" t="s">
        <v>702</v>
      </c>
      <c r="C22" s="1" t="s">
        <v>703</v>
      </c>
      <c r="D22" s="1" t="s">
        <v>704</v>
      </c>
      <c r="E22" s="1" t="s">
        <v>705</v>
      </c>
    </row>
    <row r="23" spans="1:5" ht="58.2" customHeight="1">
      <c r="A23" s="8" t="s">
        <v>706</v>
      </c>
      <c r="B23" s="9" t="s">
        <v>707</v>
      </c>
      <c r="C23" s="9" t="s">
        <v>708</v>
      </c>
      <c r="D23" s="9" t="s">
        <v>709</v>
      </c>
      <c r="E23" s="9" t="s">
        <v>710</v>
      </c>
    </row>
    <row r="24" spans="1:5" ht="58.2" customHeight="1">
      <c r="A24" s="7" t="s">
        <v>711</v>
      </c>
      <c r="B24" s="1" t="s">
        <v>712</v>
      </c>
      <c r="C24" s="1" t="s">
        <v>713</v>
      </c>
      <c r="D24" s="1" t="s">
        <v>714</v>
      </c>
      <c r="E24" s="1" t="s">
        <v>715</v>
      </c>
    </row>
  </sheetData>
  <autoFilter ref="A5:E24"/>
  <mergeCells count="3">
    <mergeCell ref="A1:E1"/>
    <mergeCell ref="A2:E2"/>
    <mergeCell ref="A3:E3"/>
  </mergeCells>
  <hyperlinks>
    <hyperlink ref="A4" location="'00_案内'!A1" display="← 目次"/>
    <hyperlink ref="E6" location="'22_出典'!A10" display="S05 S53 S54"/>
    <hyperlink ref="E7" location="'22_出典'!A6" display="S01 S53"/>
    <hyperlink ref="E8" location="'22_出典'!A58" display="S53"/>
    <hyperlink ref="E9" location="'22_出典'!A53" display="S48 S53 S56"/>
    <hyperlink ref="E10" location="'22_出典'!A53" display="S48 S53"/>
    <hyperlink ref="E11" location="'22_出典'!A6" display="S01 S53"/>
    <hyperlink ref="E12" location="'22_出典'!A53" display="S48"/>
    <hyperlink ref="E13" location="'22_出典'!A53" display="S48 S56"/>
    <hyperlink ref="E14" location="'22_出典'!A6" display="S01 S56"/>
    <hyperlink ref="E15" location="'22_出典'!A53" display="S48"/>
    <hyperlink ref="E16" location="'22_出典'!A53" display="S48 S60"/>
    <hyperlink ref="E17" location="'22_出典'!A6" display="S01 S54"/>
    <hyperlink ref="E18" location="'22_出典'!A60" display="S55 S57"/>
    <hyperlink ref="E19" location="'22_出典'!A59" display="S54 S57"/>
    <hyperlink ref="E20" location="'22_出典'!A53" display="S48 S56"/>
    <hyperlink ref="E21" location="'22_出典'!A10" display="S05 S09 S61"/>
    <hyperlink ref="E22" location="'22_出典'!A8" display="S03 S05"/>
    <hyperlink ref="E23" location="'22_出典'!A8" display="S03 S53 S57"/>
    <hyperlink ref="E24" location="'22_出典'!A10" display="S05 S56 S61"/>
  </hyperlinks>
  <pageMargins left="0.28" right="0.28" top="0.4" bottom="0.4" header="0.3" footer="0.3"/>
  <pageSetup paperSize="8" fitToHeight="0" orientation="landscape"/>
  <headerFooter>
    <oddHeader>&amp;L&amp;"Meiryo UI,Regular"&amp;9 AWS / JMeter / EAP 8.1 &amp;R2026-10-02</oddHeader>
    <oddFooter>&amp;L&amp;"Meiryo UI,Regular"&amp;8 公式資料の確認日を基準に記述　&amp;R&amp;P / &amp;N</oddFooter>
  </headerFooter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777777"/>
    <pageSetUpPr fitToPage="1"/>
  </sheetPr>
  <dimension ref="A1:E17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2" customHeight="1"/>
  <cols>
    <col min="1" max="1" width="25.7109375" style="1" customWidth="1"/>
    <col min="2" max="2" width="37.7109375" style="1" customWidth="1"/>
    <col min="3" max="3" width="49.7109375" style="1" customWidth="1"/>
    <col min="4" max="4" width="47.7109375" style="1" customWidth="1"/>
    <col min="5" max="5" width="12.7109375" style="1" customWidth="1"/>
  </cols>
  <sheetData>
    <row r="1" spans="1:5" ht="47" customHeight="1">
      <c r="A1" s="2" t="s">
        <v>716</v>
      </c>
      <c r="B1" s="2"/>
      <c r="C1" s="2"/>
      <c r="D1" s="2"/>
      <c r="E1" s="2"/>
    </row>
    <row r="2" spans="1:5" ht="25" customHeight="1">
      <c r="A2" s="3" t="s">
        <v>1</v>
      </c>
      <c r="B2" s="3"/>
      <c r="C2" s="3"/>
      <c r="D2" s="3"/>
      <c r="E2" s="3"/>
    </row>
    <row r="3" spans="1:5" ht="48" customHeight="1">
      <c r="A3" s="4" t="s">
        <v>717</v>
      </c>
      <c r="B3" s="4"/>
      <c r="C3" s="4"/>
      <c r="D3" s="4"/>
      <c r="E3" s="4"/>
    </row>
    <row r="4" spans="1:5" ht="23" customHeight="1">
      <c r="A4" s="5" t="s">
        <v>3</v>
      </c>
    </row>
    <row r="5" spans="1:5" ht="35" customHeight="1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</row>
    <row r="6" spans="1:5" ht="58.2" customHeight="1">
      <c r="A6" s="7" t="s">
        <v>718</v>
      </c>
      <c r="B6" s="1" t="s">
        <v>719</v>
      </c>
      <c r="C6" s="1" t="s">
        <v>720</v>
      </c>
      <c r="D6" s="1" t="s">
        <v>721</v>
      </c>
      <c r="E6" s="1" t="s">
        <v>722</v>
      </c>
    </row>
    <row r="7" spans="1:5" ht="58.2" customHeight="1">
      <c r="A7" s="8" t="s">
        <v>723</v>
      </c>
      <c r="B7" s="9" t="s">
        <v>724</v>
      </c>
      <c r="C7" s="9" t="s">
        <v>725</v>
      </c>
      <c r="D7" s="9" t="s">
        <v>726</v>
      </c>
      <c r="E7" s="9" t="s">
        <v>727</v>
      </c>
    </row>
    <row r="8" spans="1:5" ht="44" customHeight="1">
      <c r="A8" s="7" t="s">
        <v>728</v>
      </c>
      <c r="B8" s="1" t="s">
        <v>729</v>
      </c>
      <c r="C8" s="1" t="s">
        <v>730</v>
      </c>
      <c r="D8" s="1" t="s">
        <v>731</v>
      </c>
      <c r="E8" s="1" t="s">
        <v>727</v>
      </c>
    </row>
    <row r="9" spans="1:5" ht="44" customHeight="1">
      <c r="A9" s="8" t="s">
        <v>732</v>
      </c>
      <c r="B9" s="9" t="s">
        <v>733</v>
      </c>
      <c r="C9" s="9" t="s">
        <v>734</v>
      </c>
      <c r="D9" s="9" t="s">
        <v>735</v>
      </c>
      <c r="E9" s="9" t="s">
        <v>52</v>
      </c>
    </row>
    <row r="10" spans="1:5" ht="58.2" customHeight="1">
      <c r="A10" s="7" t="s">
        <v>736</v>
      </c>
      <c r="B10" s="1" t="s">
        <v>737</v>
      </c>
      <c r="C10" s="1" t="s">
        <v>738</v>
      </c>
      <c r="D10" s="1" t="s">
        <v>739</v>
      </c>
      <c r="E10" s="1" t="s">
        <v>727</v>
      </c>
    </row>
    <row r="11" spans="1:5" ht="58.2" customHeight="1">
      <c r="A11" s="8" t="s">
        <v>740</v>
      </c>
      <c r="B11" s="9" t="s">
        <v>741</v>
      </c>
      <c r="C11" s="9" t="s">
        <v>742</v>
      </c>
      <c r="D11" s="9" t="s">
        <v>743</v>
      </c>
      <c r="E11" s="9" t="s">
        <v>744</v>
      </c>
    </row>
    <row r="12" spans="1:5" ht="58.2" customHeight="1">
      <c r="A12" s="7" t="s">
        <v>745</v>
      </c>
      <c r="B12" s="1" t="s">
        <v>746</v>
      </c>
      <c r="C12" s="1" t="s">
        <v>747</v>
      </c>
      <c r="D12" s="1" t="s">
        <v>748</v>
      </c>
      <c r="E12" s="1" t="s">
        <v>727</v>
      </c>
    </row>
    <row r="13" spans="1:5" ht="44" customHeight="1">
      <c r="A13" s="8" t="s">
        <v>749</v>
      </c>
      <c r="B13" s="9" t="s">
        <v>750</v>
      </c>
      <c r="C13" s="9" t="s">
        <v>751</v>
      </c>
      <c r="D13" s="9" t="s">
        <v>752</v>
      </c>
      <c r="E13" s="9" t="s">
        <v>753</v>
      </c>
    </row>
    <row r="14" spans="1:5" ht="44" customHeight="1">
      <c r="A14" s="7" t="s">
        <v>754</v>
      </c>
      <c r="B14" s="1" t="s">
        <v>755</v>
      </c>
      <c r="C14" s="1" t="s">
        <v>756</v>
      </c>
      <c r="D14" s="1" t="s">
        <v>757</v>
      </c>
      <c r="E14" s="1" t="s">
        <v>758</v>
      </c>
    </row>
    <row r="15" spans="1:5" ht="58.2" customHeight="1">
      <c r="A15" s="8" t="s">
        <v>759</v>
      </c>
      <c r="B15" s="9" t="s">
        <v>760</v>
      </c>
      <c r="C15" s="9" t="s">
        <v>761</v>
      </c>
      <c r="D15" s="9" t="s">
        <v>762</v>
      </c>
      <c r="E15" s="9" t="s">
        <v>763</v>
      </c>
    </row>
    <row r="16" spans="1:5" ht="58.2" customHeight="1">
      <c r="A16" s="7" t="s">
        <v>764</v>
      </c>
      <c r="B16" s="1" t="s">
        <v>765</v>
      </c>
      <c r="C16" s="1" t="s">
        <v>766</v>
      </c>
      <c r="D16" s="1" t="s">
        <v>767</v>
      </c>
      <c r="E16" s="1" t="s">
        <v>768</v>
      </c>
    </row>
    <row r="17" spans="1:5" ht="58.2" customHeight="1">
      <c r="A17" s="8" t="s">
        <v>769</v>
      </c>
      <c r="B17" s="9" t="s">
        <v>770</v>
      </c>
      <c r="C17" s="9" t="s">
        <v>771</v>
      </c>
      <c r="D17" s="9" t="s">
        <v>772</v>
      </c>
      <c r="E17" s="9" t="s">
        <v>773</v>
      </c>
    </row>
  </sheetData>
  <autoFilter ref="A5:E17"/>
  <mergeCells count="3">
    <mergeCell ref="A1:E1"/>
    <mergeCell ref="A2:E2"/>
    <mergeCell ref="A3:E3"/>
  </mergeCells>
  <hyperlinks>
    <hyperlink ref="A4" location="'00_案内'!A1" display="← 目次"/>
    <hyperlink ref="E6" location="'22_出典'!A45" display="S40 S50"/>
    <hyperlink ref="E7" location="'22_出典'!A55" display="S50"/>
    <hyperlink ref="E8" location="'22_出典'!A55" display="S50"/>
    <hyperlink ref="E9" location="'22_出典'!A54" display="S49 S50"/>
    <hyperlink ref="E10" location="'22_出典'!A55" display="S50"/>
    <hyperlink ref="E11" location="'22_出典'!A55" display="S50 S51"/>
    <hyperlink ref="E12" location="'22_出典'!A55" display="S50"/>
    <hyperlink ref="E13" location="'22_出典'!A54" display="S49 S51"/>
    <hyperlink ref="E14" location="'22_出典'!A22" display="S17 S49"/>
    <hyperlink ref="E15" location="'22_出典'!A45" display="S40"/>
    <hyperlink ref="E16" location="'22_出典'!A52" display="S47 S50"/>
    <hyperlink ref="E17" location="'22_出典'!A46" display="S41 S50 S52"/>
  </hyperlinks>
  <pageMargins left="0.28" right="0.28" top="0.4" bottom="0.4" header="0.3" footer="0.3"/>
  <pageSetup paperSize="8" fitToHeight="0" orientation="landscape"/>
  <headerFooter>
    <oddHeader>&amp;L&amp;"Meiryo UI,Regular"&amp;9 AWS / JMeter / EAP 8.1 &amp;R2026-10-02</oddHeader>
    <oddFooter>&amp;L&amp;"Meiryo UI,Regular"&amp;8 公式資料の確認日を基準に記述　&amp;R&amp;P / &amp;N</oddFooter>
  </headerFooter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777777"/>
    <pageSetUpPr fitToPage="1"/>
  </sheetPr>
  <dimension ref="A1:E20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2" customHeight="1"/>
  <cols>
    <col min="1" max="1" width="25.7109375" style="1" customWidth="1"/>
    <col min="2" max="2" width="37.7109375" style="1" customWidth="1"/>
    <col min="3" max="3" width="49.7109375" style="1" customWidth="1"/>
    <col min="4" max="4" width="47.7109375" style="1" customWidth="1"/>
    <col min="5" max="5" width="12.7109375" style="1" customWidth="1"/>
  </cols>
  <sheetData>
    <row r="1" spans="1:5" ht="47" customHeight="1">
      <c r="A1" s="2" t="s">
        <v>774</v>
      </c>
      <c r="B1" s="2"/>
      <c r="C1" s="2"/>
      <c r="D1" s="2"/>
      <c r="E1" s="2"/>
    </row>
    <row r="2" spans="1:5" ht="25" customHeight="1">
      <c r="A2" s="3" t="s">
        <v>1</v>
      </c>
      <c r="B2" s="3"/>
      <c r="C2" s="3"/>
      <c r="D2" s="3"/>
      <c r="E2" s="3"/>
    </row>
    <row r="3" spans="1:5" ht="48" customHeight="1">
      <c r="A3" s="4" t="s">
        <v>775</v>
      </c>
      <c r="B3" s="4"/>
      <c r="C3" s="4"/>
      <c r="D3" s="4"/>
      <c r="E3" s="4"/>
    </row>
    <row r="4" spans="1:5" ht="23" customHeight="1">
      <c r="A4" s="5" t="s">
        <v>3</v>
      </c>
    </row>
    <row r="5" spans="1:5" ht="35" customHeight="1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</row>
    <row r="6" spans="1:5" ht="73.6" customHeight="1">
      <c r="A6" s="7" t="s">
        <v>776</v>
      </c>
      <c r="B6" s="1" t="s">
        <v>777</v>
      </c>
      <c r="C6" s="1" t="s">
        <v>778</v>
      </c>
      <c r="D6" s="1" t="s">
        <v>779</v>
      </c>
      <c r="E6" s="1" t="s">
        <v>780</v>
      </c>
    </row>
    <row r="7" spans="1:5" ht="73.6" customHeight="1">
      <c r="A7" s="8" t="s">
        <v>781</v>
      </c>
      <c r="B7" s="9" t="s">
        <v>782</v>
      </c>
      <c r="C7" s="9" t="s">
        <v>783</v>
      </c>
      <c r="D7" s="9" t="s">
        <v>784</v>
      </c>
      <c r="E7" s="9" t="s">
        <v>785</v>
      </c>
    </row>
    <row r="8" spans="1:5" ht="73.6" customHeight="1">
      <c r="A8" s="7" t="s">
        <v>786</v>
      </c>
      <c r="B8" s="1" t="s">
        <v>787</v>
      </c>
      <c r="C8" s="1" t="s">
        <v>788</v>
      </c>
      <c r="D8" s="1" t="s">
        <v>789</v>
      </c>
      <c r="E8" s="1" t="s">
        <v>790</v>
      </c>
    </row>
    <row r="9" spans="1:5" ht="58.2" customHeight="1">
      <c r="A9" s="8" t="s">
        <v>791</v>
      </c>
      <c r="B9" s="9" t="s">
        <v>792</v>
      </c>
      <c r="C9" s="9" t="s">
        <v>793</v>
      </c>
      <c r="D9" s="9" t="s">
        <v>794</v>
      </c>
      <c r="E9" s="9" t="s">
        <v>790</v>
      </c>
    </row>
    <row r="10" spans="1:5" ht="58.2" customHeight="1">
      <c r="A10" s="7" t="s">
        <v>795</v>
      </c>
      <c r="B10" s="1" t="s">
        <v>796</v>
      </c>
      <c r="C10" s="1" t="s">
        <v>797</v>
      </c>
      <c r="D10" s="1" t="s">
        <v>798</v>
      </c>
      <c r="E10" s="1" t="s">
        <v>780</v>
      </c>
    </row>
    <row r="11" spans="1:5" ht="73.6" customHeight="1">
      <c r="A11" s="8" t="s">
        <v>799</v>
      </c>
      <c r="B11" s="9" t="s">
        <v>800</v>
      </c>
      <c r="C11" s="9" t="s">
        <v>801</v>
      </c>
      <c r="D11" s="9" t="s">
        <v>802</v>
      </c>
      <c r="E11" s="9" t="s">
        <v>803</v>
      </c>
    </row>
    <row r="12" spans="1:5" ht="58.2" customHeight="1">
      <c r="A12" s="7" t="s">
        <v>804</v>
      </c>
      <c r="B12" s="1" t="s">
        <v>805</v>
      </c>
      <c r="C12" s="1" t="s">
        <v>806</v>
      </c>
      <c r="D12" s="1" t="s">
        <v>807</v>
      </c>
      <c r="E12" s="1" t="s">
        <v>808</v>
      </c>
    </row>
    <row r="13" spans="1:5" ht="73.6" customHeight="1">
      <c r="A13" s="8" t="s">
        <v>809</v>
      </c>
      <c r="B13" s="9" t="s">
        <v>810</v>
      </c>
      <c r="C13" s="9" t="s">
        <v>811</v>
      </c>
      <c r="D13" s="9" t="s">
        <v>812</v>
      </c>
      <c r="E13" s="9" t="s">
        <v>813</v>
      </c>
    </row>
    <row r="14" spans="1:5" ht="58.2" customHeight="1">
      <c r="A14" s="7" t="s">
        <v>814</v>
      </c>
      <c r="B14" s="1" t="s">
        <v>815</v>
      </c>
      <c r="C14" s="1" t="s">
        <v>816</v>
      </c>
      <c r="D14" s="1" t="s">
        <v>817</v>
      </c>
      <c r="E14" s="1" t="s">
        <v>818</v>
      </c>
    </row>
    <row r="15" spans="1:5" ht="58.2" customHeight="1">
      <c r="A15" s="8" t="s">
        <v>819</v>
      </c>
      <c r="B15" s="9" t="s">
        <v>820</v>
      </c>
      <c r="C15" s="9" t="s">
        <v>821</v>
      </c>
      <c r="D15" s="9" t="s">
        <v>822</v>
      </c>
      <c r="E15" s="9" t="s">
        <v>823</v>
      </c>
    </row>
    <row r="16" spans="1:5" ht="58.2" customHeight="1">
      <c r="A16" s="7" t="s">
        <v>824</v>
      </c>
      <c r="B16" s="1" t="s">
        <v>825</v>
      </c>
      <c r="C16" s="1" t="s">
        <v>826</v>
      </c>
      <c r="D16" s="1" t="s">
        <v>827</v>
      </c>
      <c r="E16" s="1" t="s">
        <v>828</v>
      </c>
    </row>
    <row r="17" spans="1:5" ht="58.2" customHeight="1">
      <c r="A17" s="8" t="s">
        <v>829</v>
      </c>
      <c r="B17" s="9" t="s">
        <v>830</v>
      </c>
      <c r="C17" s="9" t="s">
        <v>831</v>
      </c>
      <c r="D17" s="9" t="s">
        <v>832</v>
      </c>
      <c r="E17" s="9" t="s">
        <v>833</v>
      </c>
    </row>
    <row r="18" spans="1:5" ht="58.2" customHeight="1">
      <c r="A18" s="7" t="s">
        <v>834</v>
      </c>
      <c r="B18" s="1" t="s">
        <v>835</v>
      </c>
      <c r="C18" s="1" t="s">
        <v>836</v>
      </c>
      <c r="D18" s="1" t="s">
        <v>837</v>
      </c>
      <c r="E18" s="1" t="s">
        <v>838</v>
      </c>
    </row>
    <row r="19" spans="1:5" ht="58.2" customHeight="1">
      <c r="A19" s="8" t="s">
        <v>839</v>
      </c>
      <c r="B19" s="9" t="s">
        <v>840</v>
      </c>
      <c r="C19" s="9" t="s">
        <v>841</v>
      </c>
      <c r="D19" s="9" t="s">
        <v>842</v>
      </c>
      <c r="E19" s="9" t="s">
        <v>843</v>
      </c>
    </row>
    <row r="20" spans="1:5" ht="58.2" customHeight="1">
      <c r="A20" s="7" t="s">
        <v>844</v>
      </c>
      <c r="B20" s="1" t="s">
        <v>845</v>
      </c>
      <c r="C20" s="1" t="s">
        <v>846</v>
      </c>
      <c r="D20" s="1" t="s">
        <v>847</v>
      </c>
      <c r="E20" s="1" t="s">
        <v>848</v>
      </c>
    </row>
  </sheetData>
  <autoFilter ref="A5:E20"/>
  <mergeCells count="3">
    <mergeCell ref="A1:E1"/>
    <mergeCell ref="A2:E2"/>
    <mergeCell ref="A3:E3"/>
  </mergeCells>
  <hyperlinks>
    <hyperlink ref="A4" location="'00_案内'!A1" display="← 目次"/>
    <hyperlink ref="E6" location="'22_出典'!A7" display="S02 S03"/>
    <hyperlink ref="E7" location="'22_出典'!A6" display="S01 S04 S45"/>
    <hyperlink ref="E8" location="'22_出典'!A8" display="S03"/>
    <hyperlink ref="E9" location="'22_出典'!A8" display="S03"/>
    <hyperlink ref="E10" location="'22_出典'!A7" display="S02 S03"/>
    <hyperlink ref="E11" location="'22_出典'!A8" display="S03 S43 S62"/>
    <hyperlink ref="E12" location="'22_出典'!A8" display="S03 S61"/>
    <hyperlink ref="E13" location="'22_出典'!A6" display="S01 S03"/>
    <hyperlink ref="E14" location="'22_出典'!A47" display="S42 S43 S44"/>
    <hyperlink ref="E15" location="'22_出典'!A49" display="S44 S47"/>
    <hyperlink ref="E16" location="'22_出典'!A47" display="S42 S43 S63"/>
    <hyperlink ref="E17" location="'22_出典'!A56" display="S51 S62 S63"/>
    <hyperlink ref="E18" location="'22_出典'!A46" display="S41 S42 S43"/>
    <hyperlink ref="E19" location="'22_出典'!A8" display="S03 S40 S47"/>
    <hyperlink ref="E20" location="'22_出典'!A6" display="S01 S03 S40"/>
  </hyperlinks>
  <pageMargins left="0.28" right="0.28" top="0.4" bottom="0.4" header="0.3" footer="0.3"/>
  <pageSetup paperSize="8" fitToHeight="0" orientation="landscape"/>
  <headerFooter>
    <oddHeader>&amp;L&amp;"Meiryo UI,Regular"&amp;9 AWS / JMeter / EAP 8.1 &amp;R2026-10-02</oddHeader>
    <oddFooter>&amp;L&amp;"Meiryo UI,Regular"&amp;8 公式資料の確認日を基準に記述　&amp;R&amp;P / &amp;N</oddFooter>
  </headerFooter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777777"/>
    <pageSetUpPr fitToPage="1"/>
  </sheetPr>
  <dimension ref="A1:E121"/>
  <sheetViews>
    <sheetView showGridLines="0" zoomScale="85" zoomScaleNormal="85" workbookViewId="0">
      <pane ySplit="4" topLeftCell="A5" activePane="bottomLeft" state="frozen"/>
      <selection pane="bottomLeft"/>
    </sheetView>
  </sheetViews>
  <sheetFormatPr defaultRowHeight="22" customHeight="1"/>
  <cols>
    <col min="1" max="1" width="30.7109375" style="1" customWidth="1"/>
    <col min="2" max="4" width="31.7109375" style="1" customWidth="1"/>
    <col min="5" max="5" width="30.7109375" style="1" customWidth="1"/>
  </cols>
  <sheetData>
    <row r="1" spans="1:5" ht="47" customHeight="1">
      <c r="A1" s="2" t="s">
        <v>1342</v>
      </c>
      <c r="B1" s="2"/>
      <c r="C1" s="2"/>
      <c r="D1" s="2"/>
      <c r="E1" s="2"/>
    </row>
    <row r="2" spans="1:5" ht="25" customHeight="1">
      <c r="A2" s="3" t="s">
        <v>1</v>
      </c>
      <c r="B2" s="3"/>
      <c r="C2" s="3"/>
      <c r="D2" s="3"/>
      <c r="E2" s="3"/>
    </row>
    <row r="3" spans="1:5" ht="48" customHeight="1">
      <c r="A3" s="4" t="s">
        <v>1364</v>
      </c>
      <c r="B3" s="4"/>
      <c r="C3" s="4"/>
      <c r="D3" s="4"/>
      <c r="E3" s="4"/>
    </row>
    <row r="4" spans="1:5" ht="23" customHeight="1">
      <c r="A4" s="5" t="s">
        <v>3</v>
      </c>
    </row>
    <row r="6" spans="1:5" ht="32" customHeight="1">
      <c r="A6" s="6" t="s">
        <v>1365</v>
      </c>
      <c r="B6" s="6"/>
      <c r="C6" s="6"/>
      <c r="D6" s="6"/>
      <c r="E6" s="6"/>
    </row>
    <row r="7" spans="1:5" ht="55" customHeight="1">
      <c r="A7" s="4" t="s">
        <v>1366</v>
      </c>
      <c r="B7" s="4"/>
      <c r="C7" s="4"/>
      <c r="D7" s="4"/>
      <c r="E7" s="4"/>
    </row>
    <row r="8" spans="1:5" ht="27.4" customHeight="1">
      <c r="A8" s="10" t="s">
        <v>1367</v>
      </c>
      <c r="B8" s="10"/>
      <c r="C8" s="10"/>
      <c r="D8" s="10"/>
      <c r="E8" s="10"/>
    </row>
    <row r="9" spans="1:5" ht="27.4" customHeight="1">
      <c r="A9" s="10" t="s">
        <v>1368</v>
      </c>
      <c r="B9" s="10"/>
      <c r="C9" s="10"/>
      <c r="D9" s="10"/>
      <c r="E9" s="10"/>
    </row>
    <row r="10" spans="1:5" ht="27.4" customHeight="1">
      <c r="A10" s="10" t="s">
        <v>1369</v>
      </c>
      <c r="B10" s="10"/>
      <c r="C10" s="10"/>
      <c r="D10" s="10"/>
      <c r="E10" s="10"/>
    </row>
    <row r="11" spans="1:5" ht="27.4" customHeight="1">
      <c r="A11" s="10" t="s">
        <v>1370</v>
      </c>
      <c r="B11" s="10"/>
      <c r="C11" s="10"/>
      <c r="D11" s="10"/>
      <c r="E11" s="10"/>
    </row>
    <row r="12" spans="1:5" ht="33" customHeight="1">
      <c r="A12" s="5" t="s">
        <v>790</v>
      </c>
    </row>
    <row r="14" spans="1:5" ht="32" customHeight="1">
      <c r="A14" s="6" t="s">
        <v>1371</v>
      </c>
      <c r="B14" s="6"/>
      <c r="C14" s="6"/>
      <c r="D14" s="6"/>
      <c r="E14" s="6"/>
    </row>
    <row r="15" spans="1:5" ht="55" customHeight="1">
      <c r="A15" s="4" t="s">
        <v>1372</v>
      </c>
      <c r="B15" s="4"/>
      <c r="C15" s="4"/>
      <c r="D15" s="4"/>
      <c r="E15" s="4"/>
    </row>
    <row r="16" spans="1:5" ht="27.4" customHeight="1">
      <c r="A16" s="10" t="s">
        <v>1367</v>
      </c>
      <c r="B16" s="10"/>
      <c r="C16" s="10"/>
      <c r="D16" s="10"/>
      <c r="E16" s="10"/>
    </row>
    <row r="17" spans="1:5" ht="27.4" customHeight="1">
      <c r="A17" s="10" t="s">
        <v>1373</v>
      </c>
      <c r="B17" s="10"/>
      <c r="C17" s="10"/>
      <c r="D17" s="10"/>
      <c r="E17" s="10"/>
    </row>
    <row r="18" spans="1:5" ht="27.4" customHeight="1">
      <c r="A18" s="10" t="s">
        <v>1374</v>
      </c>
      <c r="B18" s="10"/>
      <c r="C18" s="10"/>
      <c r="D18" s="10"/>
      <c r="E18" s="10"/>
    </row>
    <row r="19" spans="1:5" ht="27.4" customHeight="1">
      <c r="A19" s="10" t="s">
        <v>1375</v>
      </c>
      <c r="B19" s="10"/>
      <c r="C19" s="10"/>
      <c r="D19" s="10"/>
      <c r="E19" s="10"/>
    </row>
    <row r="20" spans="1:5" ht="27.4" customHeight="1">
      <c r="A20" s="10" t="s">
        <v>1376</v>
      </c>
      <c r="B20" s="10"/>
      <c r="C20" s="10"/>
      <c r="D20" s="10"/>
      <c r="E20" s="10"/>
    </row>
    <row r="21" spans="1:5" ht="27.4" customHeight="1">
      <c r="A21" s="10" t="s">
        <v>1377</v>
      </c>
      <c r="B21" s="10"/>
      <c r="C21" s="10"/>
      <c r="D21" s="10"/>
      <c r="E21" s="10"/>
    </row>
    <row r="22" spans="1:5" ht="27.4" customHeight="1">
      <c r="A22" s="10" t="s">
        <v>1378</v>
      </c>
      <c r="B22" s="10"/>
      <c r="C22" s="10"/>
      <c r="D22" s="10"/>
      <c r="E22" s="10"/>
    </row>
    <row r="23" spans="1:5" ht="27.4" customHeight="1">
      <c r="A23" s="10" t="s">
        <v>1379</v>
      </c>
      <c r="B23" s="10"/>
      <c r="C23" s="10"/>
      <c r="D23" s="10"/>
      <c r="E23" s="10"/>
    </row>
    <row r="24" spans="1:5" ht="27.4" customHeight="1">
      <c r="A24" s="10" t="s">
        <v>1380</v>
      </c>
      <c r="B24" s="10"/>
      <c r="C24" s="10"/>
      <c r="D24" s="10"/>
      <c r="E24" s="10"/>
    </row>
    <row r="25" spans="1:5" ht="27.4" customHeight="1">
      <c r="A25" s="10" t="s">
        <v>1381</v>
      </c>
      <c r="B25" s="10"/>
      <c r="C25" s="10"/>
      <c r="D25" s="10"/>
      <c r="E25" s="10"/>
    </row>
    <row r="26" spans="1:5" ht="27.4" customHeight="1">
      <c r="A26" s="10" t="s">
        <v>1382</v>
      </c>
      <c r="B26" s="10"/>
      <c r="C26" s="10"/>
      <c r="D26" s="10"/>
      <c r="E26" s="10"/>
    </row>
    <row r="27" spans="1:5" ht="27.4" customHeight="1">
      <c r="A27" s="10" t="s">
        <v>1383</v>
      </c>
      <c r="B27" s="10"/>
      <c r="C27" s="10"/>
      <c r="D27" s="10"/>
      <c r="E27" s="10"/>
    </row>
    <row r="28" spans="1:5" ht="27.4" customHeight="1">
      <c r="A28" s="10" t="s">
        <v>1370</v>
      </c>
      <c r="B28" s="10"/>
      <c r="C28" s="10"/>
      <c r="D28" s="10"/>
      <c r="E28" s="10"/>
    </row>
    <row r="29" spans="1:5" ht="33" customHeight="1">
      <c r="A29" s="5" t="s">
        <v>813</v>
      </c>
    </row>
    <row r="31" spans="1:5" ht="32" customHeight="1">
      <c r="A31" s="6" t="s">
        <v>1384</v>
      </c>
      <c r="B31" s="6"/>
      <c r="C31" s="6"/>
      <c r="D31" s="6"/>
      <c r="E31" s="6"/>
    </row>
    <row r="32" spans="1:5" ht="55" customHeight="1">
      <c r="A32" s="4" t="s">
        <v>1385</v>
      </c>
      <c r="B32" s="4"/>
      <c r="C32" s="4"/>
      <c r="D32" s="4"/>
      <c r="E32" s="4"/>
    </row>
    <row r="33" spans="1:5" ht="27.4" customHeight="1">
      <c r="A33" s="10" t="s">
        <v>1386</v>
      </c>
      <c r="B33" s="10"/>
      <c r="C33" s="10"/>
      <c r="D33" s="10"/>
      <c r="E33" s="10"/>
    </row>
    <row r="34" spans="1:5" ht="27.4" customHeight="1">
      <c r="A34" s="10" t="s">
        <v>1387</v>
      </c>
      <c r="B34" s="10"/>
      <c r="C34" s="10"/>
      <c r="D34" s="10"/>
      <c r="E34" s="10"/>
    </row>
    <row r="35" spans="1:5" ht="27.4" customHeight="1">
      <c r="A35" s="10" t="s">
        <v>1388</v>
      </c>
      <c r="B35" s="10"/>
      <c r="C35" s="10"/>
      <c r="D35" s="10"/>
      <c r="E35" s="10"/>
    </row>
    <row r="36" spans="1:5" ht="27.4" customHeight="1">
      <c r="A36" s="10" t="s">
        <v>1389</v>
      </c>
      <c r="B36" s="10"/>
      <c r="C36" s="10"/>
      <c r="D36" s="10"/>
      <c r="E36" s="10"/>
    </row>
    <row r="37" spans="1:5" ht="27.4" customHeight="1">
      <c r="A37" s="10" t="s">
        <v>1390</v>
      </c>
      <c r="B37" s="10"/>
      <c r="C37" s="10"/>
      <c r="D37" s="10"/>
      <c r="E37" s="10"/>
    </row>
    <row r="38" spans="1:5" ht="33" customHeight="1">
      <c r="A38" s="5" t="s">
        <v>1391</v>
      </c>
    </row>
    <row r="40" spans="1:5" ht="32" customHeight="1">
      <c r="A40" s="6" t="s">
        <v>1392</v>
      </c>
      <c r="B40" s="6"/>
      <c r="C40" s="6"/>
      <c r="D40" s="6"/>
      <c r="E40" s="6"/>
    </row>
    <row r="41" spans="1:5" ht="55" customHeight="1">
      <c r="A41" s="4" t="s">
        <v>1393</v>
      </c>
      <c r="B41" s="4"/>
      <c r="C41" s="4"/>
      <c r="D41" s="4"/>
      <c r="E41" s="4"/>
    </row>
    <row r="42" spans="1:5" ht="27.4" customHeight="1">
      <c r="A42" s="10" t="s">
        <v>1394</v>
      </c>
      <c r="B42" s="10"/>
      <c r="C42" s="10"/>
      <c r="D42" s="10"/>
      <c r="E42" s="10"/>
    </row>
    <row r="43" spans="1:5" ht="27.4" customHeight="1">
      <c r="A43" s="10" t="s">
        <v>1395</v>
      </c>
      <c r="B43" s="10"/>
      <c r="C43" s="10"/>
      <c r="D43" s="10"/>
      <c r="E43" s="10"/>
    </row>
    <row r="44" spans="1:5" ht="33" customHeight="1">
      <c r="A44" s="5" t="s">
        <v>753</v>
      </c>
    </row>
    <row r="46" spans="1:5" ht="32" customHeight="1">
      <c r="A46" s="6" t="s">
        <v>1396</v>
      </c>
      <c r="B46" s="6"/>
      <c r="C46" s="6"/>
      <c r="D46" s="6"/>
      <c r="E46" s="6"/>
    </row>
    <row r="47" spans="1:5" ht="55" customHeight="1">
      <c r="A47" s="4" t="s">
        <v>1397</v>
      </c>
      <c r="B47" s="4"/>
      <c r="C47" s="4"/>
      <c r="D47" s="4"/>
      <c r="E47" s="4"/>
    </row>
    <row r="48" spans="1:5" ht="27.4" customHeight="1">
      <c r="A48" s="10" t="s">
        <v>1398</v>
      </c>
      <c r="B48" s="10"/>
      <c r="C48" s="10"/>
      <c r="D48" s="10"/>
      <c r="E48" s="10"/>
    </row>
    <row r="49" spans="1:5" ht="33" customHeight="1">
      <c r="A49" s="5" t="s">
        <v>1399</v>
      </c>
    </row>
    <row r="51" spans="1:5" ht="32" customHeight="1">
      <c r="A51" s="6" t="s">
        <v>1400</v>
      </c>
      <c r="B51" s="6"/>
      <c r="C51" s="6"/>
      <c r="D51" s="6"/>
      <c r="E51" s="6"/>
    </row>
    <row r="52" spans="1:5" ht="55" customHeight="1">
      <c r="A52" s="4" t="s">
        <v>1401</v>
      </c>
      <c r="B52" s="4"/>
      <c r="C52" s="4"/>
      <c r="D52" s="4"/>
      <c r="E52" s="4"/>
    </row>
    <row r="53" spans="1:5" ht="27.4" customHeight="1">
      <c r="A53" s="10" t="s">
        <v>1402</v>
      </c>
      <c r="B53" s="10"/>
      <c r="C53" s="10"/>
      <c r="D53" s="10"/>
      <c r="E53" s="10"/>
    </row>
    <row r="54" spans="1:5" ht="27.4" customHeight="1">
      <c r="A54" s="10" t="s">
        <v>1403</v>
      </c>
      <c r="B54" s="10"/>
      <c r="C54" s="10"/>
      <c r="D54" s="10"/>
      <c r="E54" s="10"/>
    </row>
    <row r="55" spans="1:5" ht="27.4" customHeight="1">
      <c r="A55" s="10" t="s">
        <v>1404</v>
      </c>
      <c r="B55" s="10"/>
      <c r="C55" s="10"/>
      <c r="D55" s="10"/>
      <c r="E55" s="10"/>
    </row>
    <row r="56" spans="1:5" ht="27.4" customHeight="1">
      <c r="A56" s="10" t="s">
        <v>1405</v>
      </c>
      <c r="B56" s="10"/>
      <c r="C56" s="10"/>
      <c r="D56" s="10"/>
      <c r="E56" s="10"/>
    </row>
    <row r="57" spans="1:5" ht="27.4" customHeight="1">
      <c r="A57" s="10" t="s">
        <v>1406</v>
      </c>
      <c r="B57" s="10"/>
      <c r="C57" s="10"/>
      <c r="D57" s="10"/>
      <c r="E57" s="10"/>
    </row>
    <row r="58" spans="1:5" ht="33" customHeight="1">
      <c r="A58" s="5" t="s">
        <v>1407</v>
      </c>
    </row>
    <row r="60" spans="1:5" ht="32" customHeight="1">
      <c r="A60" s="6" t="s">
        <v>1408</v>
      </c>
      <c r="B60" s="6"/>
      <c r="C60" s="6"/>
      <c r="D60" s="6"/>
      <c r="E60" s="6"/>
    </row>
    <row r="61" spans="1:5" ht="55" customHeight="1">
      <c r="A61" s="4" t="s">
        <v>1409</v>
      </c>
      <c r="B61" s="4"/>
      <c r="C61" s="4"/>
      <c r="D61" s="4"/>
      <c r="E61" s="4"/>
    </row>
    <row r="62" spans="1:5" ht="27.4" customHeight="1">
      <c r="A62" s="10" t="s">
        <v>1410</v>
      </c>
      <c r="B62" s="10"/>
      <c r="C62" s="10"/>
      <c r="D62" s="10"/>
      <c r="E62" s="10"/>
    </row>
    <row r="63" spans="1:5" ht="27.4" customHeight="1">
      <c r="A63" s="10" t="s">
        <v>1411</v>
      </c>
      <c r="B63" s="10"/>
      <c r="C63" s="10"/>
      <c r="D63" s="10"/>
      <c r="E63" s="10"/>
    </row>
    <row r="64" spans="1:5" ht="27.4" customHeight="1">
      <c r="A64" s="10" t="s">
        <v>1412</v>
      </c>
      <c r="B64" s="10"/>
      <c r="C64" s="10"/>
      <c r="D64" s="10"/>
      <c r="E64" s="10"/>
    </row>
    <row r="65" spans="1:5" ht="33" customHeight="1">
      <c r="A65" s="5" t="s">
        <v>1413</v>
      </c>
    </row>
    <row r="67" spans="1:5" ht="32" customHeight="1">
      <c r="A67" s="6" t="s">
        <v>1414</v>
      </c>
      <c r="B67" s="6"/>
      <c r="C67" s="6"/>
      <c r="D67" s="6"/>
      <c r="E67" s="6"/>
    </row>
    <row r="68" spans="1:5" ht="55" customHeight="1">
      <c r="A68" s="4" t="s">
        <v>1415</v>
      </c>
      <c r="B68" s="4"/>
      <c r="C68" s="4"/>
      <c r="D68" s="4"/>
      <c r="E68" s="4"/>
    </row>
    <row r="69" spans="1:5" ht="27.4" customHeight="1">
      <c r="A69" s="10" t="s">
        <v>1367</v>
      </c>
      <c r="B69" s="10"/>
      <c r="C69" s="10"/>
      <c r="D69" s="10"/>
      <c r="E69" s="10"/>
    </row>
    <row r="70" spans="1:5" ht="27.4" customHeight="1">
      <c r="A70" s="10" t="s">
        <v>1416</v>
      </c>
      <c r="B70" s="10"/>
      <c r="C70" s="10"/>
      <c r="D70" s="10"/>
      <c r="E70" s="10"/>
    </row>
    <row r="71" spans="1:5" ht="27.4" customHeight="1">
      <c r="A71" s="10" t="s">
        <v>1417</v>
      </c>
      <c r="B71" s="10"/>
      <c r="C71" s="10"/>
      <c r="D71" s="10"/>
      <c r="E71" s="10"/>
    </row>
    <row r="72" spans="1:5" ht="27.4" customHeight="1">
      <c r="A72" s="10" t="s">
        <v>1418</v>
      </c>
      <c r="B72" s="10"/>
      <c r="C72" s="10"/>
      <c r="D72" s="10"/>
      <c r="E72" s="10"/>
    </row>
    <row r="73" spans="1:5" ht="27.4" customHeight="1">
      <c r="A73" s="10" t="s">
        <v>1419</v>
      </c>
      <c r="B73" s="10"/>
      <c r="C73" s="10"/>
      <c r="D73" s="10"/>
      <c r="E73" s="10"/>
    </row>
    <row r="74" spans="1:5" ht="27.4" customHeight="1">
      <c r="A74" s="10" t="s">
        <v>1420</v>
      </c>
      <c r="B74" s="10"/>
      <c r="C74" s="10"/>
      <c r="D74" s="10"/>
      <c r="E74" s="10"/>
    </row>
    <row r="75" spans="1:5" ht="27.4" customHeight="1">
      <c r="A75" s="10" t="s">
        <v>1421</v>
      </c>
      <c r="B75" s="10"/>
      <c r="C75" s="10"/>
      <c r="D75" s="10"/>
      <c r="E75" s="10"/>
    </row>
    <row r="76" spans="1:5" ht="27.4" customHeight="1">
      <c r="A76" s="10" t="s">
        <v>1422</v>
      </c>
      <c r="B76" s="10"/>
      <c r="C76" s="10"/>
      <c r="D76" s="10"/>
      <c r="E76" s="10"/>
    </row>
    <row r="77" spans="1:5" ht="27.4" customHeight="1">
      <c r="A77" s="10" t="s">
        <v>1423</v>
      </c>
      <c r="B77" s="10"/>
      <c r="C77" s="10"/>
      <c r="D77" s="10"/>
      <c r="E77" s="10"/>
    </row>
    <row r="78" spans="1:5" ht="27.4" customHeight="1">
      <c r="A78" s="10" t="s">
        <v>1424</v>
      </c>
      <c r="B78" s="10"/>
      <c r="C78" s="10"/>
      <c r="D78" s="10"/>
      <c r="E78" s="10"/>
    </row>
    <row r="79" spans="1:5" ht="27.4" customHeight="1">
      <c r="A79" s="10" t="s">
        <v>1425</v>
      </c>
      <c r="B79" s="10"/>
      <c r="C79" s="10"/>
      <c r="D79" s="10"/>
      <c r="E79" s="10"/>
    </row>
    <row r="80" spans="1:5" ht="27.4" customHeight="1">
      <c r="A80" s="10" t="s">
        <v>1426</v>
      </c>
      <c r="B80" s="10"/>
      <c r="C80" s="10"/>
      <c r="D80" s="10"/>
      <c r="E80" s="10"/>
    </row>
    <row r="81" spans="1:5" ht="27.4" customHeight="1">
      <c r="A81" s="10" t="s">
        <v>1427</v>
      </c>
      <c r="B81" s="10"/>
      <c r="C81" s="10"/>
      <c r="D81" s="10"/>
      <c r="E81" s="10"/>
    </row>
    <row r="82" spans="1:5" ht="27.4" customHeight="1">
      <c r="A82" s="10" t="s">
        <v>1428</v>
      </c>
      <c r="B82" s="10"/>
      <c r="C82" s="10"/>
      <c r="D82" s="10"/>
      <c r="E82" s="10"/>
    </row>
    <row r="83" spans="1:5" ht="27.4" customHeight="1">
      <c r="A83" s="10" t="s">
        <v>1429</v>
      </c>
      <c r="B83" s="10"/>
      <c r="C83" s="10"/>
      <c r="D83" s="10"/>
      <c r="E83" s="10"/>
    </row>
    <row r="84" spans="1:5" ht="27.4" customHeight="1">
      <c r="A84" s="10" t="s">
        <v>1430</v>
      </c>
      <c r="B84" s="10"/>
      <c r="C84" s="10"/>
      <c r="D84" s="10"/>
      <c r="E84" s="10"/>
    </row>
    <row r="85" spans="1:5" ht="27.4" customHeight="1">
      <c r="A85" s="10" t="s">
        <v>1431</v>
      </c>
      <c r="B85" s="10"/>
      <c r="C85" s="10"/>
      <c r="D85" s="10"/>
      <c r="E85" s="10"/>
    </row>
    <row r="86" spans="1:5" ht="27.4" customHeight="1">
      <c r="A86" s="10" t="s">
        <v>1370</v>
      </c>
      <c r="B86" s="10"/>
      <c r="C86" s="10"/>
      <c r="D86" s="10"/>
      <c r="E86" s="10"/>
    </row>
    <row r="87" spans="1:5" ht="33" customHeight="1">
      <c r="A87" s="5" t="s">
        <v>1188</v>
      </c>
    </row>
    <row r="89" spans="1:5" ht="32" customHeight="1">
      <c r="A89" s="6" t="s">
        <v>1432</v>
      </c>
      <c r="B89" s="6"/>
      <c r="C89" s="6"/>
      <c r="D89" s="6"/>
      <c r="E89" s="6"/>
    </row>
    <row r="90" spans="1:5" ht="55" customHeight="1">
      <c r="A90" s="4" t="s">
        <v>1433</v>
      </c>
      <c r="B90" s="4"/>
      <c r="C90" s="4"/>
      <c r="D90" s="4"/>
      <c r="E90" s="4"/>
    </row>
    <row r="91" spans="1:5" ht="42.8" customHeight="1">
      <c r="A91" s="10" t="s">
        <v>1434</v>
      </c>
      <c r="B91" s="10"/>
      <c r="C91" s="10"/>
      <c r="D91" s="10"/>
      <c r="E91" s="10"/>
    </row>
    <row r="92" spans="1:5" ht="27.4" customHeight="1">
      <c r="A92" s="10" t="s">
        <v>1435</v>
      </c>
      <c r="B92" s="10"/>
      <c r="C92" s="10"/>
      <c r="D92" s="10"/>
      <c r="E92" s="10"/>
    </row>
    <row r="93" spans="1:5" ht="27.4" customHeight="1">
      <c r="A93" s="10" t="s">
        <v>1436</v>
      </c>
      <c r="B93" s="10"/>
      <c r="C93" s="10"/>
      <c r="D93" s="10"/>
      <c r="E93" s="10"/>
    </row>
    <row r="94" spans="1:5" ht="27.4" customHeight="1">
      <c r="A94" s="10" t="s">
        <v>1437</v>
      </c>
      <c r="B94" s="10"/>
      <c r="C94" s="10"/>
      <c r="D94" s="10"/>
      <c r="E94" s="10"/>
    </row>
    <row r="95" spans="1:5" ht="27.4" customHeight="1">
      <c r="A95" s="10" t="s">
        <v>1438</v>
      </c>
      <c r="B95" s="10"/>
      <c r="C95" s="10"/>
      <c r="D95" s="10"/>
      <c r="E95" s="10"/>
    </row>
    <row r="96" spans="1:5" ht="27.4" customHeight="1">
      <c r="A96" s="10" t="s">
        <v>1439</v>
      </c>
      <c r="B96" s="10"/>
      <c r="C96" s="10"/>
      <c r="D96" s="10"/>
      <c r="E96" s="10"/>
    </row>
    <row r="97" spans="1:5" ht="27.4" customHeight="1">
      <c r="A97" s="10" t="s">
        <v>1440</v>
      </c>
      <c r="B97" s="10"/>
      <c r="C97" s="10"/>
      <c r="D97" s="10"/>
      <c r="E97" s="10"/>
    </row>
    <row r="98" spans="1:5" ht="33" customHeight="1">
      <c r="A98" s="5" t="s">
        <v>1441</v>
      </c>
    </row>
    <row r="100" spans="1:5" ht="32" customHeight="1">
      <c r="A100" s="6" t="s">
        <v>1442</v>
      </c>
      <c r="B100" s="6"/>
      <c r="C100" s="6"/>
      <c r="D100" s="6"/>
      <c r="E100" s="6"/>
    </row>
    <row r="101" spans="1:5" ht="55" customHeight="1">
      <c r="A101" s="4" t="s">
        <v>1443</v>
      </c>
      <c r="B101" s="4"/>
      <c r="C101" s="4"/>
      <c r="D101" s="4"/>
      <c r="E101" s="4"/>
    </row>
    <row r="102" spans="1:5" ht="27.4" customHeight="1">
      <c r="A102" s="10" t="s">
        <v>1444</v>
      </c>
      <c r="B102" s="10"/>
      <c r="C102" s="10"/>
      <c r="D102" s="10"/>
      <c r="E102" s="10"/>
    </row>
    <row r="103" spans="1:5" ht="27.4" customHeight="1">
      <c r="A103" s="10" t="s">
        <v>1445</v>
      </c>
      <c r="B103" s="10"/>
      <c r="C103" s="10"/>
      <c r="D103" s="10"/>
      <c r="E103" s="10"/>
    </row>
    <row r="104" spans="1:5" ht="33" customHeight="1">
      <c r="A104" s="5" t="s">
        <v>922</v>
      </c>
    </row>
    <row r="106" spans="1:5" ht="32" customHeight="1">
      <c r="A106" s="6" t="s">
        <v>1446</v>
      </c>
      <c r="B106" s="6"/>
      <c r="C106" s="6"/>
      <c r="D106" s="6"/>
      <c r="E106" s="6"/>
    </row>
    <row r="107" spans="1:5" ht="55" customHeight="1">
      <c r="A107" s="4" t="s">
        <v>1447</v>
      </c>
      <c r="B107" s="4"/>
      <c r="C107" s="4"/>
      <c r="D107" s="4"/>
      <c r="E107" s="4"/>
    </row>
    <row r="108" spans="1:5" ht="42.8" customHeight="1">
      <c r="A108" s="10" t="s">
        <v>1448</v>
      </c>
      <c r="B108" s="10"/>
      <c r="C108" s="10"/>
      <c r="D108" s="10"/>
      <c r="E108" s="10"/>
    </row>
    <row r="109" spans="1:5" ht="33" customHeight="1">
      <c r="A109" s="5" t="s">
        <v>922</v>
      </c>
    </row>
    <row r="111" spans="1:5" ht="32" customHeight="1">
      <c r="A111" s="6" t="s">
        <v>1449</v>
      </c>
      <c r="B111" s="6"/>
      <c r="C111" s="6"/>
      <c r="D111" s="6"/>
      <c r="E111" s="6"/>
    </row>
    <row r="112" spans="1:5" ht="55" customHeight="1">
      <c r="A112" s="4" t="s">
        <v>1450</v>
      </c>
      <c r="B112" s="4"/>
      <c r="C112" s="4"/>
      <c r="D112" s="4"/>
      <c r="E112" s="4"/>
    </row>
    <row r="113" spans="1:5" ht="27.4" customHeight="1">
      <c r="A113" s="10" t="s">
        <v>1451</v>
      </c>
      <c r="B113" s="10"/>
      <c r="C113" s="10"/>
      <c r="D113" s="10"/>
      <c r="E113" s="10"/>
    </row>
    <row r="114" spans="1:5" ht="27.4" customHeight="1">
      <c r="A114" s="10" t="s">
        <v>1452</v>
      </c>
      <c r="B114" s="10"/>
      <c r="C114" s="10"/>
      <c r="D114" s="10"/>
      <c r="E114" s="10"/>
    </row>
    <row r="115" spans="1:5" ht="27.4" customHeight="1">
      <c r="A115" s="10" t="s">
        <v>1435</v>
      </c>
      <c r="B115" s="10"/>
      <c r="C115" s="10"/>
      <c r="D115" s="10"/>
      <c r="E115" s="10"/>
    </row>
    <row r="116" spans="1:5" ht="27.4" customHeight="1">
      <c r="A116" s="10" t="s">
        <v>1453</v>
      </c>
      <c r="B116" s="10"/>
      <c r="C116" s="10"/>
      <c r="D116" s="10"/>
      <c r="E116" s="10"/>
    </row>
    <row r="117" spans="1:5" ht="27.4" customHeight="1">
      <c r="A117" s="10" t="s">
        <v>1454</v>
      </c>
      <c r="B117" s="10"/>
      <c r="C117" s="10"/>
      <c r="D117" s="10"/>
      <c r="E117" s="10"/>
    </row>
    <row r="118" spans="1:5" ht="27.4" customHeight="1">
      <c r="A118" s="10" t="s">
        <v>1435</v>
      </c>
      <c r="B118" s="10"/>
      <c r="C118" s="10"/>
      <c r="D118" s="10"/>
      <c r="E118" s="10"/>
    </row>
    <row r="119" spans="1:5" ht="27.4" customHeight="1">
      <c r="A119" s="10" t="s">
        <v>1455</v>
      </c>
      <c r="B119" s="10"/>
      <c r="C119" s="10"/>
      <c r="D119" s="10"/>
      <c r="E119" s="10"/>
    </row>
    <row r="120" spans="1:5" ht="27.4" customHeight="1">
      <c r="A120" s="10" t="s">
        <v>1456</v>
      </c>
      <c r="B120" s="10"/>
      <c r="C120" s="10"/>
      <c r="D120" s="10"/>
      <c r="E120" s="10"/>
    </row>
    <row r="121" spans="1:5" ht="33" customHeight="1">
      <c r="A121" s="5" t="s">
        <v>1457</v>
      </c>
    </row>
  </sheetData>
  <mergeCells count="96">
    <mergeCell ref="A1:E1"/>
    <mergeCell ref="A2:E2"/>
    <mergeCell ref="A3:E3"/>
    <mergeCell ref="A6:E6"/>
    <mergeCell ref="A7:E7"/>
    <mergeCell ref="A8:E8"/>
    <mergeCell ref="A9:E9"/>
    <mergeCell ref="A10:E10"/>
    <mergeCell ref="A11:E11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31:E31"/>
    <mergeCell ref="A32:E32"/>
    <mergeCell ref="A33:E33"/>
    <mergeCell ref="A34:E34"/>
    <mergeCell ref="A35:E35"/>
    <mergeCell ref="A36:E36"/>
    <mergeCell ref="A37:E37"/>
    <mergeCell ref="A40:E40"/>
    <mergeCell ref="A41:E41"/>
    <mergeCell ref="A42:E42"/>
    <mergeCell ref="A43:E43"/>
    <mergeCell ref="A46:E46"/>
    <mergeCell ref="A47:E47"/>
    <mergeCell ref="A48:E48"/>
    <mergeCell ref="A51:E51"/>
    <mergeCell ref="A52:E52"/>
    <mergeCell ref="A53:E53"/>
    <mergeCell ref="A54:E54"/>
    <mergeCell ref="A55:E55"/>
    <mergeCell ref="A56:E56"/>
    <mergeCell ref="A57:E57"/>
    <mergeCell ref="A60:E60"/>
    <mergeCell ref="A61:E61"/>
    <mergeCell ref="A62:E62"/>
    <mergeCell ref="A63:E63"/>
    <mergeCell ref="A64:E64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A76:E76"/>
    <mergeCell ref="A77:E77"/>
    <mergeCell ref="A78:E78"/>
    <mergeCell ref="A79:E79"/>
    <mergeCell ref="A80:E80"/>
    <mergeCell ref="A81:E81"/>
    <mergeCell ref="A82:E82"/>
    <mergeCell ref="A83:E83"/>
    <mergeCell ref="A84:E84"/>
    <mergeCell ref="A85:E85"/>
    <mergeCell ref="A86:E86"/>
    <mergeCell ref="A89:E89"/>
    <mergeCell ref="A90:E90"/>
    <mergeCell ref="A91:E91"/>
    <mergeCell ref="A92:E92"/>
    <mergeCell ref="A93:E93"/>
    <mergeCell ref="A94:E94"/>
    <mergeCell ref="A95:E95"/>
    <mergeCell ref="A96:E96"/>
    <mergeCell ref="A97:E97"/>
    <mergeCell ref="A100:E100"/>
    <mergeCell ref="A101:E101"/>
    <mergeCell ref="A102:E102"/>
    <mergeCell ref="A103:E103"/>
    <mergeCell ref="A106:E106"/>
    <mergeCell ref="A107:E107"/>
    <mergeCell ref="A108:E108"/>
    <mergeCell ref="A111:E111"/>
    <mergeCell ref="A112:E112"/>
    <mergeCell ref="A113:E113"/>
    <mergeCell ref="A114:E114"/>
    <mergeCell ref="A115:E115"/>
    <mergeCell ref="A116:E116"/>
    <mergeCell ref="A117:E117"/>
    <mergeCell ref="A118:E118"/>
    <mergeCell ref="A119:E119"/>
    <mergeCell ref="A120:E120"/>
  </mergeCells>
  <hyperlinks>
    <hyperlink ref="A4" location="'00_案内'!A1" display="← 目次"/>
    <hyperlink ref="A12" location="'22_出典'!A8" display="S03"/>
    <hyperlink ref="A29" location="'22_出典'!A6" display="S01 S03"/>
    <hyperlink ref="A38" location="'22_出典'!A52" display="S47 S50 S51"/>
    <hyperlink ref="A44" location="'22_出典'!A54" display="S49 S51"/>
    <hyperlink ref="A49" location="'22_出典'!A53" display="S48 S62"/>
    <hyperlink ref="A58" location="'22_出典'!A61" display="S56 S61"/>
    <hyperlink ref="A65" location="'22_出典'!A61" display="S56 S57 S58"/>
    <hyperlink ref="A87" location="'22_出典'!A38" display="S33 S63"/>
    <hyperlink ref="A98" location="'22_出典'!A39" display="S34 S35"/>
    <hyperlink ref="A104" location="'22_出典'!A65" display="S60"/>
    <hyperlink ref="A109" location="'22_出典'!A65" display="S60"/>
    <hyperlink ref="A121" location="'22_出典'!A58" display="S53 S41"/>
  </hyperlinks>
  <pageMargins left="0.28" right="0.28" top="0.4" bottom="0.4" header="0.3" footer="0.3"/>
  <pageSetup paperSize="8" fitToHeight="0" orientation="landscape"/>
  <headerFooter>
    <oddHeader>&amp;L&amp;"Meiryo UI,Regular"&amp;9 AWS / JMeter / EAP 8.1 &amp;R2026-10-02</oddHeader>
    <oddFooter>&amp;L&amp;"Meiryo UI,Regular"&amp;8 公式資料の確認日を基準に記述　&amp;R&amp;P / &amp;N</oddFooter>
  </headerFooter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777777"/>
    <pageSetUpPr fitToPage="1"/>
  </sheetPr>
  <dimension ref="A1:E17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2" customHeight="1"/>
  <cols>
    <col min="1" max="1" width="25.7109375" style="1" customWidth="1"/>
    <col min="2" max="2" width="37.7109375" style="1" customWidth="1"/>
    <col min="3" max="3" width="49.7109375" style="1" customWidth="1"/>
    <col min="4" max="4" width="47.7109375" style="1" customWidth="1"/>
    <col min="5" max="5" width="12.7109375" style="1" customWidth="1"/>
  </cols>
  <sheetData>
    <row r="1" spans="1:5" ht="47" customHeight="1">
      <c r="A1" s="2" t="s">
        <v>849</v>
      </c>
      <c r="B1" s="2"/>
      <c r="C1" s="2"/>
      <c r="D1" s="2"/>
      <c r="E1" s="2"/>
    </row>
    <row r="2" spans="1:5" ht="25" customHeight="1">
      <c r="A2" s="3" t="s">
        <v>1</v>
      </c>
      <c r="B2" s="3"/>
      <c r="C2" s="3"/>
      <c r="D2" s="3"/>
      <c r="E2" s="3"/>
    </row>
    <row r="3" spans="1:5" ht="48" customHeight="1">
      <c r="A3" s="4" t="s">
        <v>850</v>
      </c>
      <c r="B3" s="4"/>
      <c r="C3" s="4"/>
      <c r="D3" s="4"/>
      <c r="E3" s="4"/>
    </row>
    <row r="4" spans="1:5" ht="23" customHeight="1">
      <c r="A4" s="5" t="s">
        <v>3</v>
      </c>
    </row>
    <row r="5" spans="1:5" ht="35" customHeight="1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</row>
    <row r="6" spans="1:5" ht="58.2" customHeight="1">
      <c r="A6" s="7" t="s">
        <v>851</v>
      </c>
      <c r="B6" s="1" t="s">
        <v>852</v>
      </c>
      <c r="C6" s="1" t="s">
        <v>853</v>
      </c>
      <c r="D6" s="1" t="s">
        <v>854</v>
      </c>
      <c r="E6" s="1" t="s">
        <v>28</v>
      </c>
    </row>
    <row r="7" spans="1:5" ht="58.2" customHeight="1">
      <c r="A7" s="8" t="s">
        <v>855</v>
      </c>
      <c r="B7" s="9" t="s">
        <v>856</v>
      </c>
      <c r="C7" s="9" t="s">
        <v>857</v>
      </c>
      <c r="D7" s="9" t="s">
        <v>858</v>
      </c>
      <c r="E7" s="9" t="s">
        <v>859</v>
      </c>
    </row>
    <row r="8" spans="1:5" ht="58.2" customHeight="1">
      <c r="A8" s="7" t="s">
        <v>860</v>
      </c>
      <c r="B8" s="1" t="s">
        <v>861</v>
      </c>
      <c r="C8" s="1" t="s">
        <v>862</v>
      </c>
      <c r="D8" s="1" t="s">
        <v>863</v>
      </c>
      <c r="E8" s="1" t="s">
        <v>864</v>
      </c>
    </row>
    <row r="9" spans="1:5" ht="58.2" customHeight="1">
      <c r="A9" s="8" t="s">
        <v>865</v>
      </c>
      <c r="B9" s="9" t="s">
        <v>866</v>
      </c>
      <c r="C9" s="9" t="s">
        <v>867</v>
      </c>
      <c r="D9" s="9" t="s">
        <v>868</v>
      </c>
      <c r="E9" s="9" t="s">
        <v>334</v>
      </c>
    </row>
    <row r="10" spans="1:5" ht="58.2" customHeight="1">
      <c r="A10" s="7" t="s">
        <v>869</v>
      </c>
      <c r="B10" s="1" t="s">
        <v>870</v>
      </c>
      <c r="C10" s="1" t="s">
        <v>871</v>
      </c>
      <c r="D10" s="1" t="s">
        <v>872</v>
      </c>
      <c r="E10" s="1" t="s">
        <v>873</v>
      </c>
    </row>
    <row r="11" spans="1:5" ht="58.2" customHeight="1">
      <c r="A11" s="8" t="s">
        <v>874</v>
      </c>
      <c r="B11" s="9" t="s">
        <v>875</v>
      </c>
      <c r="C11" s="9" t="s">
        <v>876</v>
      </c>
      <c r="D11" s="9" t="s">
        <v>877</v>
      </c>
      <c r="E11" s="9" t="s">
        <v>722</v>
      </c>
    </row>
    <row r="12" spans="1:5" ht="44" customHeight="1">
      <c r="A12" s="7" t="s">
        <v>878</v>
      </c>
      <c r="B12" s="1" t="s">
        <v>879</v>
      </c>
      <c r="C12" s="1" t="s">
        <v>880</v>
      </c>
      <c r="D12" s="1" t="s">
        <v>881</v>
      </c>
      <c r="E12" s="1" t="s">
        <v>882</v>
      </c>
    </row>
    <row r="13" spans="1:5" ht="58.2" customHeight="1">
      <c r="A13" s="8" t="s">
        <v>883</v>
      </c>
      <c r="B13" s="9" t="s">
        <v>884</v>
      </c>
      <c r="C13" s="9" t="s">
        <v>885</v>
      </c>
      <c r="D13" s="9" t="s">
        <v>886</v>
      </c>
      <c r="E13" s="9" t="s">
        <v>887</v>
      </c>
    </row>
    <row r="14" spans="1:5" ht="58.2" customHeight="1">
      <c r="A14" s="7" t="s">
        <v>888</v>
      </c>
      <c r="B14" s="1" t="s">
        <v>889</v>
      </c>
      <c r="C14" s="1" t="s">
        <v>890</v>
      </c>
      <c r="D14" s="1" t="s">
        <v>891</v>
      </c>
      <c r="E14" s="1" t="s">
        <v>223</v>
      </c>
    </row>
    <row r="15" spans="1:5" ht="58.2" customHeight="1">
      <c r="A15" s="8" t="s">
        <v>892</v>
      </c>
      <c r="B15" s="9" t="s">
        <v>893</v>
      </c>
      <c r="C15" s="9" t="s">
        <v>894</v>
      </c>
      <c r="D15" s="9" t="s">
        <v>895</v>
      </c>
      <c r="E15" s="9" t="s">
        <v>896</v>
      </c>
    </row>
    <row r="16" spans="1:5" ht="58.2" customHeight="1">
      <c r="A16" s="7" t="s">
        <v>897</v>
      </c>
      <c r="B16" s="1" t="s">
        <v>898</v>
      </c>
      <c r="C16" s="1" t="s">
        <v>899</v>
      </c>
      <c r="D16" s="1" t="s">
        <v>900</v>
      </c>
      <c r="E16" s="1" t="s">
        <v>901</v>
      </c>
    </row>
    <row r="17" spans="1:5" ht="58.2" customHeight="1">
      <c r="A17" s="8" t="s">
        <v>902</v>
      </c>
      <c r="B17" s="9" t="s">
        <v>903</v>
      </c>
      <c r="C17" s="9" t="s">
        <v>904</v>
      </c>
      <c r="D17" s="9" t="s">
        <v>905</v>
      </c>
      <c r="E17" s="9" t="s">
        <v>906</v>
      </c>
    </row>
  </sheetData>
  <autoFilter ref="A5:E17"/>
  <mergeCells count="3">
    <mergeCell ref="A1:E1"/>
    <mergeCell ref="A2:E2"/>
    <mergeCell ref="A3:E3"/>
  </mergeCells>
  <hyperlinks>
    <hyperlink ref="A4" location="'00_案内'!A1" display="← 目次"/>
    <hyperlink ref="E6" location="'22_出典'!A41" display="S36 S40"/>
    <hyperlink ref="E7" location="'22_出典'!A64" display="S59 S60 S40"/>
    <hyperlink ref="E8" location="'22_出典'!A17" display="S12 S03"/>
    <hyperlink ref="E9" location="'22_出典'!A20" display="S15 S16"/>
    <hyperlink ref="E10" location="'22_出典'!A25" display="S20 S40"/>
    <hyperlink ref="E11" location="'22_出典'!A45" display="S40 S50"/>
    <hyperlink ref="E12" location="'22_出典'!A41" display="S36"/>
    <hyperlink ref="E13" location="'22_出典'!A8" display="S03 S37"/>
    <hyperlink ref="E14" location="'22_出典'!A41" display="S36 S37"/>
    <hyperlink ref="E15" location="'22_出典'!A33" display="S28 S40"/>
    <hyperlink ref="E16" location="'22_出典'!A6" display="S01 S05"/>
    <hyperlink ref="E17" location="'22_出典'!A6" display="S01 S60"/>
  </hyperlinks>
  <pageMargins left="0.28" right="0.28" top="0.4" bottom="0.4" header="0.3" footer="0.3"/>
  <pageSetup paperSize="8" fitToHeight="0" orientation="landscape"/>
  <headerFooter>
    <oddHeader>&amp;L&amp;"Meiryo UI,Regular"&amp;9 AWS / JMeter / EAP 8.1 &amp;R2026-10-02</oddHeader>
    <oddFooter>&amp;L&amp;"Meiryo UI,Regular"&amp;8 公式資料の確認日を基準に記述　&amp;R&amp;P / &amp;N</oddFooter>
  </headerFooter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777777"/>
    <pageSetUpPr fitToPage="1"/>
  </sheetPr>
  <dimension ref="A1:E18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2" customHeight="1"/>
  <cols>
    <col min="1" max="1" width="25.7109375" style="1" customWidth="1"/>
    <col min="2" max="2" width="37.7109375" style="1" customWidth="1"/>
    <col min="3" max="3" width="49.7109375" style="1" customWidth="1"/>
    <col min="4" max="4" width="47.7109375" style="1" customWidth="1"/>
    <col min="5" max="5" width="12.7109375" style="1" customWidth="1"/>
  </cols>
  <sheetData>
    <row r="1" spans="1:5" ht="47" customHeight="1">
      <c r="A1" s="2" t="s">
        <v>907</v>
      </c>
      <c r="B1" s="2"/>
      <c r="C1" s="2"/>
      <c r="D1" s="2"/>
      <c r="E1" s="2"/>
    </row>
    <row r="2" spans="1:5" ht="25" customHeight="1">
      <c r="A2" s="3" t="s">
        <v>1</v>
      </c>
      <c r="B2" s="3"/>
      <c r="C2" s="3"/>
      <c r="D2" s="3"/>
      <c r="E2" s="3"/>
    </row>
    <row r="3" spans="1:5" ht="48" customHeight="1">
      <c r="A3" s="4" t="s">
        <v>908</v>
      </c>
      <c r="B3" s="4"/>
      <c r="C3" s="4"/>
      <c r="D3" s="4"/>
      <c r="E3" s="4"/>
    </row>
    <row r="4" spans="1:5" ht="23" customHeight="1">
      <c r="A4" s="5" t="s">
        <v>3</v>
      </c>
    </row>
    <row r="5" spans="1:5" ht="35" customHeight="1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</row>
    <row r="6" spans="1:5" ht="58.2" customHeight="1">
      <c r="A6" s="7" t="s">
        <v>909</v>
      </c>
      <c r="B6" s="1" t="s">
        <v>910</v>
      </c>
      <c r="C6" s="1" t="s">
        <v>911</v>
      </c>
      <c r="D6" s="1" t="s">
        <v>912</v>
      </c>
      <c r="E6" s="1" t="s">
        <v>43</v>
      </c>
    </row>
    <row r="7" spans="1:5" ht="58.2" customHeight="1">
      <c r="A7" s="8" t="s">
        <v>913</v>
      </c>
      <c r="B7" s="9" t="s">
        <v>914</v>
      </c>
      <c r="C7" s="9" t="s">
        <v>915</v>
      </c>
      <c r="D7" s="9" t="s">
        <v>916</v>
      </c>
      <c r="E7" s="9" t="s">
        <v>917</v>
      </c>
    </row>
    <row r="8" spans="1:5" ht="44" customHeight="1">
      <c r="A8" s="7" t="s">
        <v>918</v>
      </c>
      <c r="B8" s="1" t="s">
        <v>919</v>
      </c>
      <c r="C8" s="1" t="s">
        <v>920</v>
      </c>
      <c r="D8" s="1" t="s">
        <v>921</v>
      </c>
      <c r="E8" s="1" t="s">
        <v>922</v>
      </c>
    </row>
    <row r="9" spans="1:5" ht="58.2" customHeight="1">
      <c r="A9" s="8" t="s">
        <v>923</v>
      </c>
      <c r="B9" s="9" t="s">
        <v>924</v>
      </c>
      <c r="C9" s="9" t="s">
        <v>925</v>
      </c>
      <c r="D9" s="9" t="s">
        <v>926</v>
      </c>
      <c r="E9" s="9" t="s">
        <v>13</v>
      </c>
    </row>
    <row r="10" spans="1:5" ht="44" customHeight="1">
      <c r="A10" s="7" t="s">
        <v>927</v>
      </c>
      <c r="B10" s="1" t="s">
        <v>928</v>
      </c>
      <c r="C10" s="1" t="s">
        <v>929</v>
      </c>
      <c r="D10" s="1" t="s">
        <v>930</v>
      </c>
      <c r="E10" s="1" t="s">
        <v>931</v>
      </c>
    </row>
    <row r="11" spans="1:5" ht="44" customHeight="1">
      <c r="A11" s="8" t="s">
        <v>932</v>
      </c>
      <c r="B11" s="9" t="s">
        <v>933</v>
      </c>
      <c r="C11" s="9" t="s">
        <v>934</v>
      </c>
      <c r="D11" s="9" t="s">
        <v>935</v>
      </c>
      <c r="E11" s="9" t="s">
        <v>922</v>
      </c>
    </row>
    <row r="12" spans="1:5" ht="44" customHeight="1">
      <c r="A12" s="7" t="s">
        <v>936</v>
      </c>
      <c r="B12" s="1" t="s">
        <v>937</v>
      </c>
      <c r="C12" s="1" t="s">
        <v>938</v>
      </c>
      <c r="D12" s="1" t="s">
        <v>939</v>
      </c>
      <c r="E12" s="1" t="s">
        <v>922</v>
      </c>
    </row>
    <row r="13" spans="1:5" ht="58.2" customHeight="1">
      <c r="A13" s="8" t="s">
        <v>940</v>
      </c>
      <c r="B13" s="9" t="s">
        <v>941</v>
      </c>
      <c r="C13" s="9" t="s">
        <v>942</v>
      </c>
      <c r="D13" s="9" t="s">
        <v>943</v>
      </c>
      <c r="E13" s="9" t="s">
        <v>18</v>
      </c>
    </row>
    <row r="14" spans="1:5" ht="58.2" customHeight="1">
      <c r="A14" s="7" t="s">
        <v>944</v>
      </c>
      <c r="B14" s="1" t="s">
        <v>945</v>
      </c>
      <c r="C14" s="1" t="s">
        <v>946</v>
      </c>
      <c r="D14" s="1" t="s">
        <v>947</v>
      </c>
      <c r="E14" s="1" t="s">
        <v>948</v>
      </c>
    </row>
    <row r="15" spans="1:5" ht="58.2" customHeight="1">
      <c r="A15" s="8" t="s">
        <v>949</v>
      </c>
      <c r="B15" s="9" t="s">
        <v>950</v>
      </c>
      <c r="C15" s="9" t="s">
        <v>951</v>
      </c>
      <c r="D15" s="9" t="s">
        <v>952</v>
      </c>
      <c r="E15" s="9" t="s">
        <v>13</v>
      </c>
    </row>
    <row r="16" spans="1:5" ht="58.2" customHeight="1">
      <c r="A16" s="7" t="s">
        <v>953</v>
      </c>
      <c r="B16" s="1" t="s">
        <v>954</v>
      </c>
      <c r="C16" s="1" t="s">
        <v>955</v>
      </c>
      <c r="D16" s="1" t="s">
        <v>956</v>
      </c>
      <c r="E16" s="1" t="s">
        <v>957</v>
      </c>
    </row>
    <row r="17" spans="1:5" ht="58.2" customHeight="1">
      <c r="A17" s="8" t="s">
        <v>958</v>
      </c>
      <c r="B17" s="9" t="s">
        <v>959</v>
      </c>
      <c r="C17" s="9" t="s">
        <v>960</v>
      </c>
      <c r="D17" s="9" t="s">
        <v>961</v>
      </c>
      <c r="E17" s="9" t="s">
        <v>43</v>
      </c>
    </row>
    <row r="18" spans="1:5" ht="58.2" customHeight="1">
      <c r="A18" s="7" t="s">
        <v>962</v>
      </c>
      <c r="B18" s="1" t="s">
        <v>963</v>
      </c>
      <c r="C18" s="1" t="s">
        <v>964</v>
      </c>
      <c r="D18" s="1" t="s">
        <v>965</v>
      </c>
      <c r="E18" s="1" t="s">
        <v>966</v>
      </c>
    </row>
  </sheetData>
  <autoFilter ref="A5:E18"/>
  <mergeCells count="3">
    <mergeCell ref="A1:E1"/>
    <mergeCell ref="A2:E2"/>
    <mergeCell ref="A3:E3"/>
  </mergeCells>
  <hyperlinks>
    <hyperlink ref="A4" location="'00_案内'!A1" display="← 目次"/>
    <hyperlink ref="E6" location="'22_出典'!A64" display="S59"/>
    <hyperlink ref="E7" location="'22_出典'!A64" display="S59 S60"/>
    <hyperlink ref="E8" location="'22_出典'!A65" display="S60"/>
    <hyperlink ref="E10" location="'22_出典'!A53" display="S48 S49"/>
    <hyperlink ref="E11" location="'22_出典'!A65" display="S60"/>
    <hyperlink ref="E12" location="'22_出典'!A65" display="S60"/>
    <hyperlink ref="E13" location="'22_出典'!A38" display="S33"/>
    <hyperlink ref="E14" location="'22_出典'!A68" display="S63"/>
    <hyperlink ref="E16" location="'22_出典'!A16" display="S11 S40"/>
    <hyperlink ref="E17" location="'22_出典'!A64" display="S59"/>
    <hyperlink ref="E18" location="'22_出典'!A6" display="S01 S10 S59"/>
  </hyperlinks>
  <pageMargins left="0.28" right="0.28" top="0.4" bottom="0.4" header="0.3" footer="0.3"/>
  <pageSetup paperSize="8" fitToHeight="0" orientation="landscape"/>
  <headerFooter>
    <oddHeader>&amp;L&amp;"Meiryo UI,Regular"&amp;9 AWS / JMeter / EAP 8.1 &amp;R2026-10-02</oddHeader>
    <oddFooter>&amp;L&amp;"Meiryo UI,Regular"&amp;8 公式資料の確認日を基準に記述　&amp;R&amp;P / &amp;N</oddFooter>
  </headerFooter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777777"/>
    <pageSetUpPr fitToPage="1"/>
  </sheetPr>
  <dimension ref="A1:E21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2" customHeight="1"/>
  <cols>
    <col min="1" max="1" width="22.7109375" style="1" customWidth="1"/>
    <col min="2" max="2" width="50.7109375" style="1" customWidth="1"/>
    <col min="3" max="3" width="44.7109375" style="1" customWidth="1"/>
    <col min="4" max="4" width="42.7109375" style="1" customWidth="1"/>
    <col min="5" max="5" width="12.7109375" style="1" customWidth="1"/>
  </cols>
  <sheetData>
    <row r="1" spans="1:5" ht="47" customHeight="1">
      <c r="A1" s="2" t="s">
        <v>967</v>
      </c>
      <c r="B1" s="2"/>
      <c r="C1" s="2"/>
      <c r="D1" s="2"/>
      <c r="E1" s="2"/>
    </row>
    <row r="2" spans="1:5" ht="25" customHeight="1">
      <c r="A2" s="3" t="s">
        <v>1</v>
      </c>
      <c r="B2" s="3"/>
      <c r="C2" s="3"/>
      <c r="D2" s="3"/>
      <c r="E2" s="3"/>
    </row>
    <row r="3" spans="1:5" ht="48" customHeight="1">
      <c r="A3" s="4" t="s">
        <v>968</v>
      </c>
      <c r="B3" s="4"/>
      <c r="C3" s="4"/>
      <c r="D3" s="4"/>
      <c r="E3" s="4"/>
    </row>
    <row r="4" spans="1:5" ht="23" customHeight="1">
      <c r="A4" s="5" t="s">
        <v>3</v>
      </c>
    </row>
    <row r="5" spans="1:5" ht="35" customHeight="1">
      <c r="A5" s="6" t="s">
        <v>969</v>
      </c>
      <c r="B5" s="6" t="s">
        <v>970</v>
      </c>
      <c r="C5" s="6" t="s">
        <v>971</v>
      </c>
      <c r="D5" s="6" t="s">
        <v>972</v>
      </c>
      <c r="E5" s="6" t="s">
        <v>8</v>
      </c>
    </row>
    <row r="6" spans="1:5" ht="44" customHeight="1">
      <c r="A6" s="7" t="s">
        <v>973</v>
      </c>
      <c r="B6" s="1" t="s">
        <v>974</v>
      </c>
      <c r="C6" s="1" t="s">
        <v>975</v>
      </c>
      <c r="D6" s="1" t="s">
        <v>976</v>
      </c>
      <c r="E6" s="1" t="s">
        <v>13</v>
      </c>
    </row>
    <row r="7" spans="1:5" ht="44" customHeight="1">
      <c r="A7" s="8" t="s">
        <v>977</v>
      </c>
      <c r="B7" s="9" t="s">
        <v>978</v>
      </c>
      <c r="C7" s="9" t="s">
        <v>979</v>
      </c>
      <c r="D7" s="9" t="s">
        <v>980</v>
      </c>
      <c r="E7" s="9" t="s">
        <v>981</v>
      </c>
    </row>
    <row r="8" spans="1:5" ht="44" customHeight="1">
      <c r="A8" s="7" t="s">
        <v>982</v>
      </c>
      <c r="B8" s="1" t="s">
        <v>983</v>
      </c>
      <c r="C8" s="1" t="s">
        <v>984</v>
      </c>
      <c r="D8" s="1" t="s">
        <v>985</v>
      </c>
      <c r="E8" s="1" t="s">
        <v>986</v>
      </c>
    </row>
    <row r="9" spans="1:5" ht="44" customHeight="1">
      <c r="A9" s="8" t="s">
        <v>987</v>
      </c>
      <c r="B9" s="9" t="s">
        <v>988</v>
      </c>
      <c r="C9" s="9" t="s">
        <v>989</v>
      </c>
      <c r="D9" s="9" t="s">
        <v>990</v>
      </c>
      <c r="E9" s="9" t="s">
        <v>991</v>
      </c>
    </row>
    <row r="10" spans="1:5" ht="44" customHeight="1">
      <c r="A10" s="7" t="s">
        <v>992</v>
      </c>
      <c r="B10" s="1" t="s">
        <v>993</v>
      </c>
      <c r="C10" s="1" t="s">
        <v>994</v>
      </c>
      <c r="D10" s="1" t="s">
        <v>995</v>
      </c>
      <c r="E10" s="1" t="s">
        <v>996</v>
      </c>
    </row>
    <row r="11" spans="1:5" ht="44" customHeight="1">
      <c r="A11" s="8" t="s">
        <v>997</v>
      </c>
      <c r="B11" s="9" t="s">
        <v>998</v>
      </c>
      <c r="C11" s="9" t="s">
        <v>999</v>
      </c>
      <c r="D11" s="9" t="s">
        <v>1000</v>
      </c>
      <c r="E11" s="9" t="s">
        <v>13</v>
      </c>
    </row>
    <row r="12" spans="1:5" ht="44" customHeight="1">
      <c r="A12" s="7" t="s">
        <v>1001</v>
      </c>
      <c r="B12" s="1" t="s">
        <v>1002</v>
      </c>
      <c r="C12" s="1" t="s">
        <v>1003</v>
      </c>
      <c r="D12" s="1" t="s">
        <v>1004</v>
      </c>
      <c r="E12" s="1" t="s">
        <v>931</v>
      </c>
    </row>
    <row r="13" spans="1:5" ht="44" customHeight="1">
      <c r="A13" s="8" t="s">
        <v>1005</v>
      </c>
      <c r="B13" s="9" t="s">
        <v>1006</v>
      </c>
      <c r="C13" s="9" t="s">
        <v>1007</v>
      </c>
      <c r="D13" s="9" t="s">
        <v>1008</v>
      </c>
      <c r="E13" s="9" t="s">
        <v>13</v>
      </c>
    </row>
    <row r="14" spans="1:5" ht="44" customHeight="1">
      <c r="A14" s="7" t="s">
        <v>1009</v>
      </c>
      <c r="B14" s="1" t="s">
        <v>1010</v>
      </c>
      <c r="C14" s="1" t="s">
        <v>1011</v>
      </c>
      <c r="D14" s="1" t="s">
        <v>1012</v>
      </c>
      <c r="E14" s="1" t="s">
        <v>13</v>
      </c>
    </row>
    <row r="15" spans="1:5" ht="44" customHeight="1">
      <c r="A15" s="8" t="s">
        <v>1013</v>
      </c>
      <c r="B15" s="9" t="s">
        <v>1014</v>
      </c>
      <c r="C15" s="9" t="s">
        <v>1015</v>
      </c>
      <c r="D15" s="9" t="s">
        <v>1016</v>
      </c>
      <c r="E15" s="9" t="s">
        <v>1017</v>
      </c>
    </row>
    <row r="16" spans="1:5" ht="44" customHeight="1">
      <c r="A16" s="7" t="s">
        <v>1018</v>
      </c>
      <c r="B16" s="1" t="s">
        <v>1019</v>
      </c>
      <c r="C16" s="1" t="s">
        <v>1020</v>
      </c>
      <c r="D16" s="1" t="s">
        <v>1021</v>
      </c>
      <c r="E16" s="1" t="s">
        <v>374</v>
      </c>
    </row>
    <row r="17" spans="1:5" ht="44" customHeight="1">
      <c r="A17" s="8" t="s">
        <v>1022</v>
      </c>
      <c r="B17" s="9" t="s">
        <v>1023</v>
      </c>
      <c r="C17" s="9" t="s">
        <v>1024</v>
      </c>
      <c r="D17" s="9" t="s">
        <v>1025</v>
      </c>
      <c r="E17" s="9" t="s">
        <v>13</v>
      </c>
    </row>
    <row r="18" spans="1:5" ht="44" customHeight="1">
      <c r="A18" s="7" t="s">
        <v>1026</v>
      </c>
      <c r="B18" s="1" t="s">
        <v>1027</v>
      </c>
      <c r="C18" s="1" t="s">
        <v>1028</v>
      </c>
      <c r="D18" s="1" t="s">
        <v>1029</v>
      </c>
      <c r="E18" s="1" t="s">
        <v>13</v>
      </c>
    </row>
    <row r="19" spans="1:5" ht="44" customHeight="1">
      <c r="A19" s="8" t="s">
        <v>1030</v>
      </c>
      <c r="B19" s="9" t="s">
        <v>1031</v>
      </c>
      <c r="C19" s="9" t="s">
        <v>1032</v>
      </c>
      <c r="D19" s="9" t="s">
        <v>1033</v>
      </c>
      <c r="E19" s="9" t="s">
        <v>1034</v>
      </c>
    </row>
    <row r="20" spans="1:5" ht="44" customHeight="1">
      <c r="A20" s="7" t="s">
        <v>1035</v>
      </c>
      <c r="B20" s="1" t="s">
        <v>1036</v>
      </c>
      <c r="C20" s="1" t="s">
        <v>1037</v>
      </c>
      <c r="D20" s="1" t="s">
        <v>1038</v>
      </c>
      <c r="E20" s="1" t="s">
        <v>13</v>
      </c>
    </row>
    <row r="21" spans="1:5" ht="44" customHeight="1">
      <c r="A21" s="8" t="s">
        <v>1039</v>
      </c>
      <c r="B21" s="9" t="s">
        <v>1040</v>
      </c>
      <c r="C21" s="9" t="s">
        <v>1041</v>
      </c>
      <c r="D21" s="9" t="s">
        <v>1042</v>
      </c>
      <c r="E21" s="9" t="s">
        <v>13</v>
      </c>
    </row>
  </sheetData>
  <autoFilter ref="A5:E21"/>
  <mergeCells count="3">
    <mergeCell ref="A1:E1"/>
    <mergeCell ref="A2:E2"/>
    <mergeCell ref="A3:E3"/>
  </mergeCells>
  <hyperlinks>
    <hyperlink ref="A4" location="'00_案内'!A1" display="← 目次"/>
    <hyperlink ref="E7" location="'22_出典'!A7" display="S02 S45"/>
    <hyperlink ref="E8" location="'22_出典'!A53" display="S48 S49 S56"/>
    <hyperlink ref="E9" location="'22_出典'!A6" display="S01 S08 S19"/>
    <hyperlink ref="E10" location="'22_出典'!A41" display="S36 S59"/>
    <hyperlink ref="E12" location="'22_出典'!A53" display="S48 S49"/>
    <hyperlink ref="E15" location="'22_出典'!A22" display="S17 S48"/>
    <hyperlink ref="E16" location="'22_出典'!A12" display="S07 S81"/>
    <hyperlink ref="E19" location="'22_出典'!A25" display="S20 S36"/>
  </hyperlinks>
  <pageMargins left="0.28" right="0.28" top="0.4" bottom="0.4" header="0.3" footer="0.3"/>
  <pageSetup paperSize="8" fitToHeight="0" orientation="landscape"/>
  <headerFooter>
    <oddHeader>&amp;L&amp;"Meiryo UI,Regular"&amp;9 AWS / JMeter / EAP 8.1 &amp;R2026-10-02</oddHeader>
    <oddFooter>&amp;L&amp;"Meiryo UI,Regular"&amp;8 公式資料の確認日を基準に記述　&amp;R&amp;P / &amp;N</oddFooter>
  </headerFooter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777777"/>
    <pageSetUpPr fitToPage="1"/>
  </sheetPr>
  <dimension ref="A1:E19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2" customHeight="1"/>
  <cols>
    <col min="1" max="1" width="29.7109375" style="1" customWidth="1"/>
    <col min="2" max="2" width="40.7109375" style="1" customWidth="1"/>
    <col min="3" max="3" width="51.7109375" style="1" customWidth="1"/>
    <col min="4" max="4" width="38.7109375" style="1" customWidth="1"/>
    <col min="5" max="5" width="12.7109375" style="1" customWidth="1"/>
  </cols>
  <sheetData>
    <row r="1" spans="1:5" ht="47" customHeight="1">
      <c r="A1" s="2" t="s">
        <v>1043</v>
      </c>
      <c r="B1" s="2"/>
      <c r="C1" s="2"/>
      <c r="D1" s="2"/>
      <c r="E1" s="2"/>
    </row>
    <row r="2" spans="1:5" ht="25" customHeight="1">
      <c r="A2" s="3" t="s">
        <v>1</v>
      </c>
      <c r="B2" s="3"/>
      <c r="C2" s="3"/>
      <c r="D2" s="3"/>
      <c r="E2" s="3"/>
    </row>
    <row r="3" spans="1:5" ht="48" customHeight="1">
      <c r="A3" s="4" t="s">
        <v>1044</v>
      </c>
      <c r="B3" s="4"/>
      <c r="C3" s="4"/>
      <c r="D3" s="4"/>
      <c r="E3" s="4"/>
    </row>
    <row r="4" spans="1:5" ht="23" customHeight="1">
      <c r="A4" s="5" t="s">
        <v>3</v>
      </c>
    </row>
    <row r="5" spans="1:5" ht="35" customHeight="1">
      <c r="A5" s="6" t="s">
        <v>1045</v>
      </c>
      <c r="B5" s="6" t="s">
        <v>1046</v>
      </c>
      <c r="C5" s="6" t="s">
        <v>1047</v>
      </c>
      <c r="D5" s="6" t="s">
        <v>1048</v>
      </c>
      <c r="E5" s="6" t="s">
        <v>8</v>
      </c>
    </row>
    <row r="6" spans="1:5" ht="44" customHeight="1">
      <c r="A6" s="7" t="s">
        <v>1049</v>
      </c>
      <c r="B6" s="1" t="s">
        <v>1050</v>
      </c>
      <c r="C6" s="1" t="s">
        <v>1051</v>
      </c>
      <c r="D6" s="1" t="s">
        <v>1052</v>
      </c>
      <c r="E6" s="1" t="s">
        <v>1053</v>
      </c>
    </row>
    <row r="7" spans="1:5" ht="44" customHeight="1">
      <c r="A7" s="8" t="s">
        <v>1054</v>
      </c>
      <c r="B7" s="9" t="s">
        <v>1055</v>
      </c>
      <c r="C7" s="9" t="s">
        <v>1056</v>
      </c>
      <c r="D7" s="9" t="s">
        <v>1057</v>
      </c>
      <c r="E7" s="9" t="s">
        <v>1058</v>
      </c>
    </row>
    <row r="8" spans="1:5" ht="44" customHeight="1">
      <c r="A8" s="7" t="s">
        <v>1059</v>
      </c>
      <c r="B8" s="1" t="s">
        <v>1060</v>
      </c>
      <c r="C8" s="1" t="s">
        <v>1061</v>
      </c>
      <c r="D8" s="1" t="s">
        <v>1062</v>
      </c>
      <c r="E8" s="1" t="s">
        <v>1063</v>
      </c>
    </row>
    <row r="9" spans="1:5" ht="44" customHeight="1">
      <c r="A9" s="8" t="s">
        <v>1064</v>
      </c>
      <c r="B9" s="9" t="s">
        <v>1065</v>
      </c>
      <c r="C9" s="9" t="s">
        <v>1066</v>
      </c>
      <c r="D9" s="9" t="s">
        <v>1067</v>
      </c>
      <c r="E9" s="9" t="s">
        <v>659</v>
      </c>
    </row>
    <row r="10" spans="1:5" ht="44" customHeight="1">
      <c r="A10" s="7" t="s">
        <v>1068</v>
      </c>
      <c r="B10" s="1" t="s">
        <v>1069</v>
      </c>
      <c r="C10" s="1" t="s">
        <v>1070</v>
      </c>
      <c r="D10" s="1" t="s">
        <v>1071</v>
      </c>
      <c r="E10" s="1" t="s">
        <v>664</v>
      </c>
    </row>
    <row r="11" spans="1:5" ht="44" customHeight="1">
      <c r="A11" s="8" t="s">
        <v>1072</v>
      </c>
      <c r="B11" s="9" t="s">
        <v>1073</v>
      </c>
      <c r="C11" s="9" t="s">
        <v>1074</v>
      </c>
      <c r="D11" s="9" t="s">
        <v>1075</v>
      </c>
      <c r="E11" s="9" t="s">
        <v>1076</v>
      </c>
    </row>
    <row r="12" spans="1:5" ht="44" customHeight="1">
      <c r="A12" s="7" t="s">
        <v>1077</v>
      </c>
      <c r="B12" s="1" t="s">
        <v>1078</v>
      </c>
      <c r="C12" s="1" t="s">
        <v>1079</v>
      </c>
      <c r="D12" s="1" t="s">
        <v>1080</v>
      </c>
      <c r="E12" s="1" t="s">
        <v>700</v>
      </c>
    </row>
    <row r="13" spans="1:5" ht="44" customHeight="1">
      <c r="A13" s="8" t="s">
        <v>1081</v>
      </c>
      <c r="B13" s="9" t="s">
        <v>1082</v>
      </c>
      <c r="C13" s="9" t="s">
        <v>1083</v>
      </c>
      <c r="D13" s="9" t="s">
        <v>1084</v>
      </c>
      <c r="E13" s="9" t="s">
        <v>1085</v>
      </c>
    </row>
    <row r="14" spans="1:5" ht="44" customHeight="1">
      <c r="A14" s="7" t="s">
        <v>1086</v>
      </c>
      <c r="B14" s="1" t="s">
        <v>1087</v>
      </c>
      <c r="C14" s="1" t="s">
        <v>1088</v>
      </c>
      <c r="D14" s="1" t="s">
        <v>1089</v>
      </c>
      <c r="E14" s="1" t="s">
        <v>52</v>
      </c>
    </row>
    <row r="15" spans="1:5" ht="44" customHeight="1">
      <c r="A15" s="8" t="s">
        <v>1090</v>
      </c>
      <c r="B15" s="9" t="s">
        <v>1091</v>
      </c>
      <c r="C15" s="9" t="s">
        <v>1092</v>
      </c>
      <c r="D15" s="9" t="s">
        <v>1093</v>
      </c>
      <c r="E15" s="9" t="s">
        <v>1094</v>
      </c>
    </row>
    <row r="16" spans="1:5" ht="44" customHeight="1">
      <c r="A16" s="7" t="s">
        <v>1095</v>
      </c>
      <c r="B16" s="1" t="s">
        <v>1096</v>
      </c>
      <c r="C16" s="1" t="s">
        <v>1097</v>
      </c>
      <c r="D16" s="1" t="s">
        <v>1098</v>
      </c>
      <c r="E16" s="1" t="s">
        <v>1099</v>
      </c>
    </row>
    <row r="17" spans="1:5" ht="44" customHeight="1">
      <c r="A17" s="8" t="s">
        <v>1100</v>
      </c>
      <c r="B17" s="9" t="s">
        <v>1101</v>
      </c>
      <c r="C17" s="9" t="s">
        <v>1102</v>
      </c>
      <c r="D17" s="9" t="s">
        <v>1103</v>
      </c>
      <c r="E17" s="9" t="s">
        <v>1104</v>
      </c>
    </row>
    <row r="18" spans="1:5" ht="44" customHeight="1">
      <c r="A18" s="7" t="s">
        <v>1105</v>
      </c>
      <c r="B18" s="1" t="s">
        <v>1106</v>
      </c>
      <c r="C18" s="1" t="s">
        <v>1107</v>
      </c>
      <c r="D18" s="1" t="s">
        <v>1108</v>
      </c>
      <c r="E18" s="1" t="s">
        <v>1109</v>
      </c>
    </row>
    <row r="19" spans="1:5" ht="44" customHeight="1">
      <c r="A19" s="8" t="s">
        <v>1110</v>
      </c>
      <c r="B19" s="9" t="s">
        <v>1111</v>
      </c>
      <c r="C19" s="9" t="s">
        <v>1112</v>
      </c>
      <c r="D19" s="9" t="s">
        <v>1113</v>
      </c>
      <c r="E19" s="9" t="s">
        <v>1114</v>
      </c>
    </row>
  </sheetData>
  <autoFilter ref="A5:E19"/>
  <mergeCells count="3">
    <mergeCell ref="A1:E1"/>
    <mergeCell ref="A2:E2"/>
    <mergeCell ref="A3:E3"/>
  </mergeCells>
  <hyperlinks>
    <hyperlink ref="A4" location="'00_案内'!A1" display="← 目次"/>
    <hyperlink ref="E6" location="'22_出典'!A15" display="S10 S59 S60"/>
    <hyperlink ref="E7" location="'22_出典'!A6" display="S01 S05 S56"/>
    <hyperlink ref="E8" location="'22_出典'!A25" display="S20 S40 S50"/>
    <hyperlink ref="E9" location="'22_出典'!A53" display="S48"/>
    <hyperlink ref="E10" location="'22_出典'!A53" display="S48 S56"/>
    <hyperlink ref="E11" location="'22_出典'!A10" display="S05 S54 S57"/>
    <hyperlink ref="E12" location="'22_出典'!A10" display="S05 S09 S61"/>
    <hyperlink ref="E13" location="'22_出典'!A22" display="S17 S20 S23"/>
    <hyperlink ref="E14" location="'22_出典'!A54" display="S49 S50"/>
    <hyperlink ref="E15" location="'22_出典'!A19" display="S14 S26 S60"/>
    <hyperlink ref="E16" location="'22_出典'!A10" display="S05 S10 S49"/>
    <hyperlink ref="E17" location="'22_出典'!A6" display="S01 S03 S33"/>
    <hyperlink ref="E18" location="'22_出典'!A33" display="S28 S36"/>
    <hyperlink ref="E19" location="'22_出典'!A8" display="S03 S05 S63"/>
  </hyperlinks>
  <pageMargins left="0.28" right="0.28" top="0.4" bottom="0.4" header="0.3" footer="0.3"/>
  <pageSetup paperSize="8" fitToHeight="0" orientation="landscape"/>
  <headerFooter>
    <oddHeader>&amp;L&amp;"Meiryo UI,Regular"&amp;9 AWS / JMeter / EAP 8.1 &amp;R2026-10-02</oddHeader>
    <oddFooter>&amp;L&amp;"Meiryo UI,Regular"&amp;8 公式資料の確認日を基準に記述　&amp;R&amp;P / &amp;N</oddFooter>
  </headerFooter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777777"/>
    <pageSetUpPr fitToPage="1"/>
  </sheetPr>
  <dimension ref="A1:E18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2" customHeight="1"/>
  <cols>
    <col min="1" max="1" width="23.7109375" style="1" customWidth="1"/>
    <col min="2" max="2" width="49.7109375" style="1" customWidth="1"/>
    <col min="3" max="3" width="46.7109375" style="1" customWidth="1"/>
    <col min="4" max="4" width="40.7109375" style="1" customWidth="1"/>
    <col min="5" max="5" width="12.7109375" style="1" customWidth="1"/>
  </cols>
  <sheetData>
    <row r="1" spans="1:5" ht="47" customHeight="1">
      <c r="A1" s="2" t="s">
        <v>1115</v>
      </c>
      <c r="B1" s="2"/>
      <c r="C1" s="2"/>
      <c r="D1" s="2"/>
      <c r="E1" s="2"/>
    </row>
    <row r="2" spans="1:5" ht="25" customHeight="1">
      <c r="A2" s="3" t="s">
        <v>1</v>
      </c>
      <c r="B2" s="3"/>
      <c r="C2" s="3"/>
      <c r="D2" s="3"/>
      <c r="E2" s="3"/>
    </row>
    <row r="3" spans="1:5" ht="48" customHeight="1">
      <c r="A3" s="4" t="s">
        <v>1116</v>
      </c>
      <c r="B3" s="4"/>
      <c r="C3" s="4"/>
      <c r="D3" s="4"/>
      <c r="E3" s="4"/>
    </row>
    <row r="4" spans="1:5" ht="23" customHeight="1">
      <c r="A4" s="5" t="s">
        <v>3</v>
      </c>
    </row>
    <row r="5" spans="1:5" ht="35" customHeight="1">
      <c r="A5" s="6" t="s">
        <v>1117</v>
      </c>
      <c r="B5" s="6" t="s">
        <v>1118</v>
      </c>
      <c r="C5" s="6" t="s">
        <v>1119</v>
      </c>
      <c r="D5" s="6" t="s">
        <v>1120</v>
      </c>
      <c r="E5" s="6" t="s">
        <v>8</v>
      </c>
    </row>
    <row r="6" spans="1:5" ht="44" customHeight="1">
      <c r="A6" s="7" t="s">
        <v>1121</v>
      </c>
      <c r="B6" s="1" t="s">
        <v>1122</v>
      </c>
      <c r="C6" s="1" t="s">
        <v>1123</v>
      </c>
      <c r="D6" s="1" t="s">
        <v>1124</v>
      </c>
      <c r="E6" s="1" t="s">
        <v>917</v>
      </c>
    </row>
    <row r="7" spans="1:5" ht="44" customHeight="1">
      <c r="A7" s="8" t="s">
        <v>1125</v>
      </c>
      <c r="B7" s="9" t="s">
        <v>1126</v>
      </c>
      <c r="C7" s="9" t="s">
        <v>1127</v>
      </c>
      <c r="D7" s="9" t="s">
        <v>1128</v>
      </c>
      <c r="E7" s="9" t="s">
        <v>284</v>
      </c>
    </row>
    <row r="8" spans="1:5" ht="44" customHeight="1">
      <c r="A8" s="7" t="s">
        <v>1129</v>
      </c>
      <c r="B8" s="1" t="s">
        <v>1130</v>
      </c>
      <c r="C8" s="1" t="s">
        <v>1131</v>
      </c>
      <c r="D8" s="1" t="s">
        <v>1132</v>
      </c>
      <c r="E8" s="1" t="s">
        <v>540</v>
      </c>
    </row>
    <row r="9" spans="1:5" ht="44" customHeight="1">
      <c r="A9" s="8" t="s">
        <v>1133</v>
      </c>
      <c r="B9" s="9" t="s">
        <v>1134</v>
      </c>
      <c r="C9" s="9" t="s">
        <v>1135</v>
      </c>
      <c r="D9" s="9" t="s">
        <v>1136</v>
      </c>
      <c r="E9" s="9" t="s">
        <v>540</v>
      </c>
    </row>
    <row r="10" spans="1:5" ht="44" customHeight="1">
      <c r="A10" s="7" t="s">
        <v>1137</v>
      </c>
      <c r="B10" s="1" t="s">
        <v>1138</v>
      </c>
      <c r="C10" s="1" t="s">
        <v>1139</v>
      </c>
      <c r="D10" s="1" t="s">
        <v>1140</v>
      </c>
      <c r="E10" s="1" t="s">
        <v>1141</v>
      </c>
    </row>
    <row r="11" spans="1:5" ht="44" customHeight="1">
      <c r="A11" s="8" t="s">
        <v>1142</v>
      </c>
      <c r="B11" s="9" t="s">
        <v>1143</v>
      </c>
      <c r="C11" s="9" t="s">
        <v>1144</v>
      </c>
      <c r="D11" s="9" t="s">
        <v>1145</v>
      </c>
      <c r="E11" s="9" t="s">
        <v>380</v>
      </c>
    </row>
    <row r="12" spans="1:5" ht="44" customHeight="1">
      <c r="A12" s="7" t="s">
        <v>1146</v>
      </c>
      <c r="B12" s="1" t="s">
        <v>1147</v>
      </c>
      <c r="C12" s="1" t="s">
        <v>1148</v>
      </c>
      <c r="D12" s="1" t="s">
        <v>1149</v>
      </c>
      <c r="E12" s="1" t="s">
        <v>636</v>
      </c>
    </row>
    <row r="13" spans="1:5" ht="44" customHeight="1">
      <c r="A13" s="8" t="s">
        <v>1150</v>
      </c>
      <c r="B13" s="9" t="s">
        <v>1151</v>
      </c>
      <c r="C13" s="9" t="s">
        <v>1152</v>
      </c>
      <c r="D13" s="9" t="s">
        <v>1153</v>
      </c>
      <c r="E13" s="9" t="s">
        <v>545</v>
      </c>
    </row>
    <row r="14" spans="1:5" ht="44" customHeight="1">
      <c r="A14" s="7" t="s">
        <v>1154</v>
      </c>
      <c r="B14" s="1" t="s">
        <v>1155</v>
      </c>
      <c r="C14" s="1" t="s">
        <v>1156</v>
      </c>
      <c r="D14" s="1" t="s">
        <v>1157</v>
      </c>
      <c r="E14" s="1" t="s">
        <v>727</v>
      </c>
    </row>
    <row r="15" spans="1:5" ht="44" customHeight="1">
      <c r="A15" s="8" t="s">
        <v>1158</v>
      </c>
      <c r="B15" s="9" t="s">
        <v>1159</v>
      </c>
      <c r="C15" s="9" t="s">
        <v>1160</v>
      </c>
      <c r="D15" s="9" t="s">
        <v>1161</v>
      </c>
      <c r="E15" s="9" t="s">
        <v>1085</v>
      </c>
    </row>
    <row r="16" spans="1:5" ht="44" customHeight="1">
      <c r="A16" s="7" t="s">
        <v>1162</v>
      </c>
      <c r="B16" s="1" t="s">
        <v>1163</v>
      </c>
      <c r="C16" s="1" t="s">
        <v>1164</v>
      </c>
      <c r="D16" s="1" t="s">
        <v>1165</v>
      </c>
      <c r="E16" s="1" t="s">
        <v>1166</v>
      </c>
    </row>
    <row r="17" spans="1:5" ht="44" customHeight="1">
      <c r="A17" s="8" t="s">
        <v>1167</v>
      </c>
      <c r="B17" s="9" t="s">
        <v>1168</v>
      </c>
      <c r="C17" s="9" t="s">
        <v>1169</v>
      </c>
      <c r="D17" s="9" t="s">
        <v>1170</v>
      </c>
      <c r="E17" s="9" t="s">
        <v>1171</v>
      </c>
    </row>
    <row r="18" spans="1:5" ht="44" customHeight="1">
      <c r="A18" s="7" t="s">
        <v>1172</v>
      </c>
      <c r="B18" s="1" t="s">
        <v>1173</v>
      </c>
      <c r="C18" s="1" t="s">
        <v>1174</v>
      </c>
      <c r="D18" s="1" t="s">
        <v>1175</v>
      </c>
      <c r="E18" s="1" t="s">
        <v>1176</v>
      </c>
    </row>
  </sheetData>
  <autoFilter ref="A5:E18"/>
  <mergeCells count="3">
    <mergeCell ref="A1:E1"/>
    <mergeCell ref="A2:E2"/>
    <mergeCell ref="A3:E3"/>
  </mergeCells>
  <hyperlinks>
    <hyperlink ref="A4" location="'00_案内'!A1" display="← 目次"/>
    <hyperlink ref="E6" location="'22_出典'!A64" display="S59 S60"/>
    <hyperlink ref="E7" location="'22_出典'!A15" display="S10"/>
    <hyperlink ref="E8" location="'22_出典'!A6" display="S01"/>
    <hyperlink ref="E9" location="'22_出典'!A6" display="S01"/>
    <hyperlink ref="E10" location="'22_出典'!A10" display="S05 S07"/>
    <hyperlink ref="E11" location="'22_出典'!A10" display="S05"/>
    <hyperlink ref="E12" location="'22_出典'!A6" display="S01 S53"/>
    <hyperlink ref="E13" location="'22_出典'!A6" display="S01 S48"/>
    <hyperlink ref="E14" location="'22_出典'!A55" display="S50"/>
    <hyperlink ref="E15" location="'22_出典'!A22" display="S17 S20 S23"/>
    <hyperlink ref="E16" location="'22_出典'!A29" display="S24 S26 S27 S28"/>
    <hyperlink ref="E17" location="'22_出典'!A14" display="S09 S34 S36"/>
    <hyperlink ref="E18" location="'22_出典'!A8" display="S03 S05 S60"/>
  </hyperlinks>
  <pageMargins left="0.28" right="0.28" top="0.4" bottom="0.4" header="0.3" footer="0.3"/>
  <pageSetup paperSize="8" fitToHeight="0" orientation="landscape"/>
  <headerFooter>
    <oddHeader>&amp;L&amp;"Meiryo UI,Regular"&amp;9 AWS / JMeter / EAP 8.1 &amp;R2026-10-02</oddHeader>
    <oddFooter>&amp;L&amp;"Meiryo UI,Regular"&amp;8 公式資料の確認日を基準に記述　&amp;R&amp;P / &amp;N</oddFooter>
  </headerFooter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777777"/>
    <pageSetUpPr fitToPage="1"/>
  </sheetPr>
  <dimension ref="A1:G50"/>
  <sheetViews>
    <sheetView showGridLines="0" zoomScale="85" zoomScaleNormal="85" workbookViewId="0">
      <pane ySplit="5" topLeftCell="A6" activePane="bottomLeft" state="frozen"/>
      <selection pane="bottomLeft"/>
    </sheetView>
  </sheetViews>
  <sheetFormatPr defaultRowHeight="22" customHeight="1"/>
  <cols>
    <col min="1" max="1" width="25.7109375" style="1" customWidth="1"/>
    <col min="2" max="2" width="19.7109375" style="1" customWidth="1"/>
    <col min="3" max="3" width="20.7109375" style="1" customWidth="1"/>
    <col min="4" max="4" width="22.7109375" style="1" customWidth="1"/>
    <col min="5" max="5" width="26.7109375" style="1" customWidth="1"/>
    <col min="6" max="6" width="21.7109375" style="1" customWidth="1"/>
    <col min="7" max="7" width="23.7109375" style="1" customWidth="1"/>
  </cols>
  <sheetData>
    <row r="1" spans="1:7" ht="47" customHeight="1">
      <c r="A1" s="2" t="s">
        <v>1458</v>
      </c>
      <c r="B1" s="2"/>
      <c r="C1" s="2"/>
      <c r="D1" s="2"/>
      <c r="E1" s="2"/>
      <c r="F1" s="2"/>
      <c r="G1" s="2"/>
    </row>
    <row r="2" spans="1:7" ht="25" customHeight="1">
      <c r="A2" s="3" t="s">
        <v>1</v>
      </c>
      <c r="B2" s="3"/>
      <c r="C2" s="3"/>
      <c r="D2" s="3"/>
      <c r="E2" s="3"/>
      <c r="F2" s="3"/>
      <c r="G2" s="3"/>
    </row>
    <row r="3" spans="1:7" ht="48" customHeight="1">
      <c r="A3" s="4" t="s">
        <v>1459</v>
      </c>
      <c r="B3" s="4"/>
      <c r="C3" s="4"/>
      <c r="D3" s="4"/>
      <c r="E3" s="4"/>
      <c r="F3" s="4"/>
      <c r="G3" s="4"/>
    </row>
    <row r="4" spans="1:7" ht="23" customHeight="1">
      <c r="A4" s="5" t="s">
        <v>3</v>
      </c>
    </row>
    <row r="5" spans="1:7" ht="22" customHeight="1">
      <c r="A5" s="6" t="s">
        <v>1460</v>
      </c>
      <c r="B5" s="6"/>
      <c r="C5" s="6"/>
      <c r="D5" s="6"/>
      <c r="E5" s="6"/>
      <c r="F5" s="6"/>
      <c r="G5" s="6"/>
    </row>
    <row r="6" spans="1:7" ht="49" customHeight="1">
      <c r="A6" s="8" t="s">
        <v>1461</v>
      </c>
      <c r="B6" s="11">
        <v>1024</v>
      </c>
      <c r="C6" s="8" t="s">
        <v>1462</v>
      </c>
      <c r="D6" s="11">
        <v>2048</v>
      </c>
      <c r="E6" s="8" t="s">
        <v>1463</v>
      </c>
      <c r="F6" s="12">
        <f>IF(AND(D6&gt;0,B6&gt;=0,B6&lt;=D6),B6/D6,NA())</f>
        <v>0.5</v>
      </c>
      <c r="G6" s="9" t="s">
        <v>1464</v>
      </c>
    </row>
    <row r="7" spans="1:7" ht="49" customHeight="1">
      <c r="A7" s="7" t="s">
        <v>1461</v>
      </c>
      <c r="B7" s="11">
        <v>1024</v>
      </c>
      <c r="C7" s="7" t="s">
        <v>1465</v>
      </c>
      <c r="D7" s="11">
        <v>1536</v>
      </c>
      <c r="E7" s="7" t="s">
        <v>1466</v>
      </c>
      <c r="F7" s="12">
        <f>IF(AND(D7&gt;0,B7&gt;=0,B7&lt;=D7),B7/D7,NA())</f>
        <v>0.6666666666666666</v>
      </c>
      <c r="G7" s="1" t="s">
        <v>1464</v>
      </c>
    </row>
    <row r="8" spans="1:7" ht="49" customHeight="1">
      <c r="A8" s="8" t="s">
        <v>1467</v>
      </c>
      <c r="B8" s="11">
        <v>3000</v>
      </c>
      <c r="C8" s="8" t="s">
        <v>1468</v>
      </c>
      <c r="D8" s="11">
        <v>60</v>
      </c>
      <c r="E8" s="8" t="s">
        <v>1469</v>
      </c>
      <c r="F8" s="12">
        <f>IF(AND(D8&gt;0,B8&gt;=0),B8/(D8*1000),NA())</f>
        <v>0.05</v>
      </c>
      <c r="G8" s="9" t="s">
        <v>1464</v>
      </c>
    </row>
    <row r="9" spans="1:7" ht="49" customHeight="1">
      <c r="A9" s="7" t="s">
        <v>1470</v>
      </c>
      <c r="B9" s="11">
        <v>6000</v>
      </c>
      <c r="C9" s="7" t="s">
        <v>1468</v>
      </c>
      <c r="D9" s="11">
        <v>60</v>
      </c>
      <c r="E9" s="7" t="s">
        <v>1471</v>
      </c>
      <c r="F9" s="13">
        <f>IF(AND(D9&gt;0,B9&gt;=0),B9/D9,NA())</f>
        <v>100</v>
      </c>
      <c r="G9" s="1" t="s">
        <v>1464</v>
      </c>
    </row>
    <row r="10" spans="1:7" ht="49" customHeight="1">
      <c r="A10" s="8" t="s">
        <v>1472</v>
      </c>
      <c r="B10" s="11">
        <v>100</v>
      </c>
      <c r="C10" s="8" t="s">
        <v>1473</v>
      </c>
      <c r="D10" s="11">
        <v>6100</v>
      </c>
      <c r="E10" s="8" t="s">
        <v>1474</v>
      </c>
      <c r="F10" s="12">
        <f>IF(AND(D10&gt;0,B10&gt;=0,B10&lt;=D10),B10/D10,NA())</f>
        <v>0.01639344262295082</v>
      </c>
      <c r="G10" s="9" t="s">
        <v>1464</v>
      </c>
    </row>
    <row r="11" spans="1:7" ht="49" customHeight="1">
      <c r="A11" s="7" t="s">
        <v>1475</v>
      </c>
      <c r="B11" s="11">
        <v>10</v>
      </c>
      <c r="C11" s="7" t="s">
        <v>1476</v>
      </c>
      <c r="D11" s="11">
        <v>20</v>
      </c>
      <c r="E11" s="7" t="s">
        <v>1477</v>
      </c>
      <c r="F11" s="13">
        <f>IF(AND(B11&gt;=0,D11&gt;=0),B11*D11,NA())</f>
        <v>200</v>
      </c>
      <c r="G11" s="1" t="s">
        <v>1464</v>
      </c>
    </row>
    <row r="12" spans="1:7" ht="49" customHeight="1">
      <c r="A12" s="8" t="s">
        <v>1478</v>
      </c>
      <c r="B12" s="11">
        <v>100</v>
      </c>
      <c r="C12" s="8" t="s">
        <v>1479</v>
      </c>
      <c r="D12" s="11">
        <v>0.2</v>
      </c>
      <c r="E12" s="8" t="s">
        <v>1480</v>
      </c>
      <c r="F12" s="13">
        <f>IF(AND(B12&gt;=0,D12&gt;=0),B12*D12,NA())</f>
        <v>20</v>
      </c>
      <c r="G12" s="9" t="s">
        <v>1464</v>
      </c>
    </row>
    <row r="14" spans="1:7" ht="53" customHeight="1">
      <c r="A14" s="4" t="s">
        <v>1481</v>
      </c>
      <c r="B14" s="4"/>
      <c r="C14" s="4"/>
      <c r="D14" s="4"/>
      <c r="E14" s="4"/>
      <c r="F14" s="4"/>
      <c r="G14" s="4"/>
    </row>
    <row r="16" spans="1:7" ht="33" customHeight="1">
      <c r="A16" s="6" t="s">
        <v>1482</v>
      </c>
      <c r="B16" s="6"/>
      <c r="C16" s="6"/>
      <c r="D16" s="6"/>
      <c r="E16" s="6"/>
      <c r="F16" s="6"/>
      <c r="G16" s="6"/>
    </row>
    <row r="17" spans="1:3" ht="22" customHeight="1">
      <c r="A17" s="6" t="s">
        <v>1483</v>
      </c>
      <c r="B17" s="6" t="s">
        <v>1484</v>
      </c>
      <c r="C17" s="6" t="s">
        <v>1485</v>
      </c>
    </row>
    <row r="18" spans="1:3" ht="25" customHeight="1">
      <c r="A18" s="14">
        <v>0</v>
      </c>
      <c r="B18" s="14">
        <v>650</v>
      </c>
      <c r="C18" s="14">
        <v>650</v>
      </c>
    </row>
    <row r="19" spans="1:3" ht="25" customHeight="1">
      <c r="A19" s="14">
        <v>1</v>
      </c>
      <c r="B19" s="14">
        <v>850</v>
      </c>
      <c r="C19" s="14">
        <v>920</v>
      </c>
    </row>
    <row r="20" spans="1:3" ht="25" customHeight="1">
      <c r="A20" s="14">
        <v>2</v>
      </c>
      <c r="B20" s="14">
        <v>1100</v>
      </c>
      <c r="C20" s="14">
        <v>1200</v>
      </c>
    </row>
    <row r="21" spans="1:3" ht="25" customHeight="1">
      <c r="A21" s="14">
        <v>3</v>
      </c>
      <c r="B21" s="14">
        <v>700</v>
      </c>
      <c r="C21" s="14">
        <v>780</v>
      </c>
    </row>
    <row r="22" spans="1:3" ht="25" customHeight="1">
      <c r="A22" s="14">
        <v>4</v>
      </c>
      <c r="B22" s="14">
        <v>650</v>
      </c>
      <c r="C22" s="14">
        <v>780</v>
      </c>
    </row>
    <row r="23" spans="1:3" ht="25" customHeight="1">
      <c r="A23" s="14">
        <v>5</v>
      </c>
      <c r="B23" s="14">
        <v>850</v>
      </c>
      <c r="C23" s="14">
        <v>1050</v>
      </c>
    </row>
    <row r="24" spans="1:3" ht="25" customHeight="1">
      <c r="A24" s="14">
        <v>6</v>
      </c>
      <c r="B24" s="14">
        <v>1100</v>
      </c>
      <c r="C24" s="14">
        <v>1330</v>
      </c>
    </row>
    <row r="25" spans="1:3" ht="25" customHeight="1">
      <c r="A25" s="14">
        <v>7</v>
      </c>
      <c r="B25" s="14">
        <v>700</v>
      </c>
      <c r="C25" s="14">
        <v>910</v>
      </c>
    </row>
    <row r="26" spans="1:3" ht="25" customHeight="1">
      <c r="A26" s="14">
        <v>8</v>
      </c>
      <c r="B26" s="14">
        <v>650</v>
      </c>
      <c r="C26" s="14">
        <v>910</v>
      </c>
    </row>
    <row r="27" spans="1:3" ht="25" customHeight="1">
      <c r="A27" s="14">
        <v>9</v>
      </c>
      <c r="B27" s="14">
        <v>850</v>
      </c>
      <c r="C27" s="14">
        <v>1180</v>
      </c>
    </row>
    <row r="28" spans="1:3" ht="25" customHeight="1">
      <c r="A28" s="14">
        <v>10</v>
      </c>
      <c r="B28" s="14">
        <v>1100</v>
      </c>
      <c r="C28" s="14">
        <v>1460</v>
      </c>
    </row>
    <row r="29" spans="1:3" ht="25" customHeight="1">
      <c r="A29" s="14">
        <v>11</v>
      </c>
      <c r="B29" s="14">
        <v>700</v>
      </c>
      <c r="C29" s="14">
        <v>1040</v>
      </c>
    </row>
    <row r="30" spans="1:3" ht="25" customHeight="1">
      <c r="A30" s="14">
        <v>12</v>
      </c>
      <c r="B30" s="14">
        <v>650</v>
      </c>
      <c r="C30" s="14">
        <v>1040</v>
      </c>
    </row>
    <row r="31" spans="1:3" ht="25" customHeight="1">
      <c r="A31" s="14">
        <v>13</v>
      </c>
      <c r="B31" s="14">
        <v>850</v>
      </c>
      <c r="C31" s="14">
        <v>1310</v>
      </c>
    </row>
    <row r="32" spans="1:3" ht="25" customHeight="1">
      <c r="A32" s="14">
        <v>14</v>
      </c>
      <c r="B32" s="14">
        <v>1100</v>
      </c>
      <c r="C32" s="14">
        <v>1590</v>
      </c>
    </row>
    <row r="33" spans="1:7" ht="25" customHeight="1">
      <c r="A33" s="14">
        <v>15</v>
      </c>
      <c r="B33" s="14">
        <v>700</v>
      </c>
      <c r="C33" s="14">
        <v>1170</v>
      </c>
    </row>
    <row r="35" spans="1:7" ht="48" customHeight="1">
      <c r="A35" s="4" t="s">
        <v>1486</v>
      </c>
      <c r="B35" s="4"/>
      <c r="C35" s="4"/>
      <c r="D35" s="4"/>
      <c r="E35" s="4"/>
      <c r="F35" s="4"/>
      <c r="G35" s="4"/>
    </row>
    <row r="37" spans="1:7" ht="22" customHeight="1">
      <c r="A37" s="6" t="s">
        <v>1487</v>
      </c>
      <c r="B37" s="6"/>
      <c r="C37" s="6"/>
      <c r="D37" s="6"/>
      <c r="E37" s="6"/>
      <c r="F37" s="6"/>
      <c r="G37" s="6"/>
    </row>
    <row r="38" spans="1:7" ht="22" customHeight="1">
      <c r="A38" s="6" t="s">
        <v>1488</v>
      </c>
      <c r="B38" s="6" t="s">
        <v>1471</v>
      </c>
      <c r="C38" s="6" t="s">
        <v>1489</v>
      </c>
    </row>
    <row r="39" spans="1:7" ht="38" customHeight="1">
      <c r="A39" s="14">
        <v>50</v>
      </c>
      <c r="B39" s="14">
        <v>50</v>
      </c>
      <c r="C39" s="14">
        <v>110</v>
      </c>
    </row>
    <row r="40" spans="1:7" ht="38" customHeight="1">
      <c r="A40" s="14">
        <v>100</v>
      </c>
      <c r="B40" s="14">
        <v>100</v>
      </c>
      <c r="C40" s="14">
        <v>125</v>
      </c>
    </row>
    <row r="41" spans="1:7" ht="38" customHeight="1">
      <c r="A41" s="14">
        <v>150</v>
      </c>
      <c r="B41" s="14">
        <v>150</v>
      </c>
      <c r="C41" s="14">
        <v>145</v>
      </c>
    </row>
    <row r="42" spans="1:7" ht="38" customHeight="1">
      <c r="A42" s="14">
        <v>200</v>
      </c>
      <c r="B42" s="14">
        <v>200</v>
      </c>
      <c r="C42" s="14">
        <v>190</v>
      </c>
    </row>
    <row r="43" spans="1:7" ht="38" customHeight="1">
      <c r="A43" s="14">
        <v>250</v>
      </c>
      <c r="B43" s="14">
        <v>248</v>
      </c>
      <c r="C43" s="14">
        <v>330</v>
      </c>
    </row>
    <row r="44" spans="1:7" ht="38" customHeight="1">
      <c r="A44" s="14">
        <v>300</v>
      </c>
      <c r="B44" s="14">
        <v>275</v>
      </c>
      <c r="C44" s="14">
        <v>800</v>
      </c>
    </row>
    <row r="45" spans="1:7" ht="38" customHeight="1">
      <c r="A45" s="14">
        <v>350</v>
      </c>
      <c r="B45" s="14">
        <v>277</v>
      </c>
      <c r="C45" s="14">
        <v>1500</v>
      </c>
    </row>
    <row r="50" spans="1:7" ht="50" customHeight="1">
      <c r="A50" s="4" t="s">
        <v>1490</v>
      </c>
      <c r="B50" s="4"/>
      <c r="C50" s="4"/>
      <c r="D50" s="4"/>
      <c r="E50" s="4"/>
      <c r="F50" s="4"/>
      <c r="G50" s="4"/>
    </row>
  </sheetData>
  <mergeCells count="9">
    <mergeCell ref="A1:G1"/>
    <mergeCell ref="A2:G2"/>
    <mergeCell ref="A3:G3"/>
    <mergeCell ref="A5:G5"/>
    <mergeCell ref="A14:G14"/>
    <mergeCell ref="A16:G16"/>
    <mergeCell ref="A35:G35"/>
    <mergeCell ref="A37:G37"/>
    <mergeCell ref="A50:G50"/>
  </mergeCells>
  <dataValidations count="14">
    <dataValidation type="decimal" operator="greaterThanOrEqual" allowBlank="1" showInputMessage="1" showErrorMessage="1" errorTitle="0以上の数値" error="0以上の数値を入力してください。" promptTitle="説明用の入力" prompt="同一範囲・同一単位の値を入力してください。" sqref="B6">
      <formula1>0</formula1>
    </dataValidation>
    <dataValidation type="decimal" operator="greaterThanOrEqual" allowBlank="1" showInputMessage="1" showErrorMessage="1" errorTitle="0以上の数値" error="0以上の数値を入力してください。" promptTitle="説明用の入力" prompt="同一範囲・同一単位の値を入力してください。" sqref="D6">
      <formula1>0</formula1>
    </dataValidation>
    <dataValidation type="decimal" operator="greaterThanOrEqual" allowBlank="1" showInputMessage="1" showErrorMessage="1" errorTitle="0以上の数値" error="0以上の数値を入力してください。" promptTitle="説明用の入力" prompt="同一範囲・同一単位の値を入力してください。" sqref="B7">
      <formula1>0</formula1>
    </dataValidation>
    <dataValidation type="decimal" operator="greaterThanOrEqual" allowBlank="1" showInputMessage="1" showErrorMessage="1" errorTitle="0以上の数値" error="0以上の数値を入力してください。" promptTitle="説明用の入力" prompt="同一範囲・同一単位の値を入力してください。" sqref="D7">
      <formula1>0</formula1>
    </dataValidation>
    <dataValidation type="decimal" operator="greaterThanOrEqual" allowBlank="1" showInputMessage="1" showErrorMessage="1" errorTitle="0以上の数値" error="0以上の数値を入力してください。" promptTitle="説明用の入力" prompt="同一範囲・同一単位の値を入力してください。" sqref="B8">
      <formula1>0</formula1>
    </dataValidation>
    <dataValidation type="decimal" operator="greaterThanOrEqual" allowBlank="1" showInputMessage="1" showErrorMessage="1" errorTitle="0以上の数値" error="0以上の数値を入力してください。" promptTitle="説明用の入力" prompt="同一範囲・同一単位の値を入力してください。" sqref="D8">
      <formula1>0</formula1>
    </dataValidation>
    <dataValidation type="decimal" operator="greaterThanOrEqual" allowBlank="1" showInputMessage="1" showErrorMessage="1" errorTitle="0以上の数値" error="0以上の数値を入力してください。" promptTitle="説明用の入力" prompt="同一範囲・同一単位の値を入力してください。" sqref="B9">
      <formula1>0</formula1>
    </dataValidation>
    <dataValidation type="decimal" operator="greaterThanOrEqual" allowBlank="1" showInputMessage="1" showErrorMessage="1" errorTitle="0以上の数値" error="0以上の数値を入力してください。" promptTitle="説明用の入力" prompt="同一範囲・同一単位の値を入力してください。" sqref="D9">
      <formula1>0</formula1>
    </dataValidation>
    <dataValidation type="decimal" operator="greaterThanOrEqual" allowBlank="1" showInputMessage="1" showErrorMessage="1" errorTitle="0以上の数値" error="0以上の数値を入力してください。" promptTitle="説明用の入力" prompt="同一範囲・同一単位の値を入力してください。" sqref="B10">
      <formula1>0</formula1>
    </dataValidation>
    <dataValidation type="decimal" operator="greaterThanOrEqual" allowBlank="1" showInputMessage="1" showErrorMessage="1" errorTitle="0以上の数値" error="0以上の数値を入力してください。" promptTitle="説明用の入力" prompt="同一範囲・同一単位の値を入力してください。" sqref="D10">
      <formula1>0</formula1>
    </dataValidation>
    <dataValidation type="decimal" operator="greaterThanOrEqual" allowBlank="1" showInputMessage="1" showErrorMessage="1" errorTitle="0以上の数値" error="0以上の数値を入力してください。" promptTitle="説明用の入力" prompt="同一範囲・同一単位の値を入力してください。" sqref="B11">
      <formula1>0</formula1>
    </dataValidation>
    <dataValidation type="decimal" operator="greaterThanOrEqual" allowBlank="1" showInputMessage="1" showErrorMessage="1" errorTitle="0以上の数値" error="0以上の数値を入力してください。" promptTitle="説明用の入力" prompt="同一範囲・同一単位の値を入力してください。" sqref="D11">
      <formula1>0</formula1>
    </dataValidation>
    <dataValidation type="decimal" operator="greaterThanOrEqual" allowBlank="1" showInputMessage="1" showErrorMessage="1" errorTitle="0以上の数値" error="0以上の数値を入力してください。" promptTitle="説明用の入力" prompt="同一範囲・同一単位の値を入力してください。" sqref="B12">
      <formula1>0</formula1>
    </dataValidation>
    <dataValidation type="decimal" operator="greaterThanOrEqual" allowBlank="1" showInputMessage="1" showErrorMessage="1" errorTitle="0以上の数値" error="0以上の数値を入力してください。" promptTitle="説明用の入力" prompt="同一範囲・同一単位の値を入力してください。" sqref="D12">
      <formula1>0</formula1>
    </dataValidation>
  </dataValidations>
  <hyperlinks>
    <hyperlink ref="A4" location="'00_案内'!A1" display="← 目次"/>
  </hyperlinks>
  <pageMargins left="0.28" right="0.28" top="0.4" bottom="0.4" header="0.3" footer="0.3"/>
  <pageSetup paperSize="8" fitToHeight="0" orientation="landscape"/>
  <headerFooter>
    <oddHeader>&amp;L&amp;"Meiryo UI,Regular"&amp;9 AWS / JMeter / EAP 8.1 &amp;R2026-10-02</oddHeader>
    <oddFooter>&amp;L&amp;"Meiryo UI,Regular"&amp;8 公式資料の確認日を基準に記述　&amp;R&amp;P / &amp;N</oddFooter>
  </headerFooter>
  <rowBreaks count="2" manualBreakCount="2">
    <brk id="15" max="16383" man="1"/>
    <brk id="36" max="16383" man="1"/>
  </rowBrea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777777"/>
    <pageSetUpPr fitToPage="1"/>
  </sheetPr>
  <dimension ref="A1:E15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2" customHeight="1"/>
  <cols>
    <col min="1" max="1" width="25.7109375" style="1" customWidth="1"/>
    <col min="2" max="2" width="37.7109375" style="1" customWidth="1"/>
    <col min="3" max="3" width="49.7109375" style="1" customWidth="1"/>
    <col min="4" max="4" width="47.7109375" style="1" customWidth="1"/>
    <col min="5" max="5" width="12.7109375" style="1" customWidth="1"/>
  </cols>
  <sheetData>
    <row r="1" spans="1:5" ht="47" customHeight="1">
      <c r="A1" s="2" t="s">
        <v>1177</v>
      </c>
      <c r="B1" s="2"/>
      <c r="C1" s="2"/>
      <c r="D1" s="2"/>
      <c r="E1" s="2"/>
    </row>
    <row r="2" spans="1:5" ht="25" customHeight="1">
      <c r="A2" s="3" t="s">
        <v>1</v>
      </c>
      <c r="B2" s="3"/>
      <c r="C2" s="3"/>
      <c r="D2" s="3"/>
      <c r="E2" s="3"/>
    </row>
    <row r="3" spans="1:5" ht="48" customHeight="1">
      <c r="A3" s="4" t="s">
        <v>1178</v>
      </c>
      <c r="B3" s="4"/>
      <c r="C3" s="4"/>
      <c r="D3" s="4"/>
      <c r="E3" s="4"/>
    </row>
    <row r="4" spans="1:5" ht="23" customHeight="1">
      <c r="A4" s="5" t="s">
        <v>3</v>
      </c>
    </row>
    <row r="5" spans="1:5" ht="35" customHeight="1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</row>
    <row r="6" spans="1:5" ht="58.2" customHeight="1">
      <c r="A6" s="7" t="s">
        <v>1179</v>
      </c>
      <c r="B6" s="1" t="s">
        <v>1180</v>
      </c>
      <c r="C6" s="1" t="s">
        <v>1181</v>
      </c>
      <c r="D6" s="1" t="s">
        <v>1182</v>
      </c>
      <c r="E6" s="1" t="s">
        <v>1183</v>
      </c>
    </row>
    <row r="7" spans="1:5" ht="58.2" customHeight="1">
      <c r="A7" s="8" t="s">
        <v>1184</v>
      </c>
      <c r="B7" s="9" t="s">
        <v>1185</v>
      </c>
      <c r="C7" s="9" t="s">
        <v>1186</v>
      </c>
      <c r="D7" s="9" t="s">
        <v>1187</v>
      </c>
      <c r="E7" s="9" t="s">
        <v>1188</v>
      </c>
    </row>
    <row r="8" spans="1:5" ht="58.2" customHeight="1">
      <c r="A8" s="7" t="s">
        <v>1189</v>
      </c>
      <c r="B8" s="1" t="s">
        <v>1190</v>
      </c>
      <c r="C8" s="1" t="s">
        <v>1191</v>
      </c>
      <c r="D8" s="1" t="s">
        <v>1192</v>
      </c>
      <c r="E8" s="1" t="s">
        <v>1193</v>
      </c>
    </row>
    <row r="9" spans="1:5" ht="58.2" customHeight="1">
      <c r="A9" s="8" t="s">
        <v>1194</v>
      </c>
      <c r="B9" s="9" t="s">
        <v>1195</v>
      </c>
      <c r="C9" s="9" t="s">
        <v>1196</v>
      </c>
      <c r="D9" s="9" t="s">
        <v>1197</v>
      </c>
      <c r="E9" s="9" t="s">
        <v>1198</v>
      </c>
    </row>
    <row r="10" spans="1:5" ht="58.2" customHeight="1">
      <c r="A10" s="7" t="s">
        <v>1199</v>
      </c>
      <c r="B10" s="1" t="s">
        <v>1200</v>
      </c>
      <c r="C10" s="1" t="s">
        <v>1201</v>
      </c>
      <c r="D10" s="1" t="s">
        <v>1202</v>
      </c>
      <c r="E10" s="1" t="s">
        <v>1203</v>
      </c>
    </row>
    <row r="11" spans="1:5" ht="58.2" customHeight="1">
      <c r="A11" s="8" t="s">
        <v>1204</v>
      </c>
      <c r="B11" s="9" t="s">
        <v>1205</v>
      </c>
      <c r="C11" s="9" t="s">
        <v>1206</v>
      </c>
      <c r="D11" s="9" t="s">
        <v>1207</v>
      </c>
      <c r="E11" s="9" t="s">
        <v>1208</v>
      </c>
    </row>
    <row r="12" spans="1:5" ht="58.2" customHeight="1">
      <c r="A12" s="7" t="s">
        <v>1209</v>
      </c>
      <c r="B12" s="1" t="s">
        <v>1210</v>
      </c>
      <c r="C12" s="1" t="s">
        <v>1211</v>
      </c>
      <c r="D12" s="1" t="s">
        <v>1212</v>
      </c>
      <c r="E12" s="1" t="s">
        <v>1213</v>
      </c>
    </row>
    <row r="13" spans="1:5" ht="58.2" customHeight="1">
      <c r="A13" s="8" t="s">
        <v>1214</v>
      </c>
      <c r="B13" s="9" t="s">
        <v>1215</v>
      </c>
      <c r="C13" s="9" t="s">
        <v>1216</v>
      </c>
      <c r="D13" s="9" t="s">
        <v>1217</v>
      </c>
      <c r="E13" s="9" t="s">
        <v>1218</v>
      </c>
    </row>
    <row r="14" spans="1:5" ht="58.2" customHeight="1">
      <c r="A14" s="7" t="s">
        <v>1219</v>
      </c>
      <c r="B14" s="1" t="s">
        <v>1220</v>
      </c>
      <c r="C14" s="1" t="s">
        <v>1221</v>
      </c>
      <c r="D14" s="1" t="s">
        <v>1222</v>
      </c>
      <c r="E14" s="1" t="s">
        <v>1223</v>
      </c>
    </row>
    <row r="15" spans="1:5" ht="58.2" customHeight="1">
      <c r="A15" s="8" t="s">
        <v>1224</v>
      </c>
      <c r="B15" s="9" t="s">
        <v>1225</v>
      </c>
      <c r="C15" s="9" t="s">
        <v>1226</v>
      </c>
      <c r="D15" s="9" t="s">
        <v>1227</v>
      </c>
      <c r="E15" s="9" t="s">
        <v>1228</v>
      </c>
    </row>
  </sheetData>
  <autoFilter ref="A5:E15"/>
  <mergeCells count="3">
    <mergeCell ref="A1:E1"/>
    <mergeCell ref="A2:E2"/>
    <mergeCell ref="A3:E3"/>
  </mergeCells>
  <hyperlinks>
    <hyperlink ref="A4" location="'00_案内'!A1" display="← 目次"/>
    <hyperlink ref="E6" location="'22_出典'!A69" display="S64"/>
    <hyperlink ref="E7" location="'22_出典'!A38" display="S33 S63"/>
    <hyperlink ref="E8" location="'22_出典'!A38" display="S33 S19"/>
    <hyperlink ref="E9" location="'22_出典'!A61" display="S56 S57 S60"/>
    <hyperlink ref="E10" location="'22_出典'!A8" display="S03 S62"/>
    <hyperlink ref="E11" location="'22_出典'!A41" display="S36 S56"/>
    <hyperlink ref="E12" location="'22_出典'!A46" display="S41 S42 S44"/>
    <hyperlink ref="E13" location="'22_出典'!A6" display="S01 S40 S45"/>
    <hyperlink ref="E14" location="'22_出典'!A6" display="S01 S78"/>
    <hyperlink ref="E15" location="'22_出典'!A12" display="S07 S13 S19 S38"/>
  </hyperlinks>
  <pageMargins left="0.28" right="0.28" top="0.4" bottom="0.4" header="0.3" footer="0.3"/>
  <pageSetup paperSize="8" fitToHeight="0" orientation="landscape"/>
  <headerFooter>
    <oddHeader>&amp;L&amp;"Meiryo UI,Regular"&amp;9 AWS / JMeter / EAP 8.1 &amp;R2026-10-02</oddHeader>
    <oddFooter>&amp;L&amp;"Meiryo UI,Regular"&amp;8 公式資料の確認日を基準に記述　&amp;R&amp;P / &amp;N</oddFooter>
  </headerFooter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rgb="FF777777"/>
    <pageSetUpPr fitToPage="1"/>
  </sheetPr>
  <dimension ref="A1:E20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2" customHeight="1"/>
  <cols>
    <col min="1" max="1" width="37.7109375" style="1" customWidth="1"/>
    <col min="2" max="2" width="34.7109375" style="1" customWidth="1"/>
    <col min="3" max="3" width="48.7109375" style="1" customWidth="1"/>
    <col min="4" max="4" width="39.7109375" style="1" customWidth="1"/>
    <col min="5" max="5" width="12.7109375" style="1" customWidth="1"/>
  </cols>
  <sheetData>
    <row r="1" spans="1:5" ht="47" customHeight="1">
      <c r="A1" s="2" t="s">
        <v>1229</v>
      </c>
      <c r="B1" s="2"/>
      <c r="C1" s="2"/>
      <c r="D1" s="2"/>
      <c r="E1" s="2"/>
    </row>
    <row r="2" spans="1:5" ht="25" customHeight="1">
      <c r="A2" s="3" t="s">
        <v>1</v>
      </c>
      <c r="B2" s="3"/>
      <c r="C2" s="3"/>
      <c r="D2" s="3"/>
      <c r="E2" s="3"/>
    </row>
    <row r="3" spans="1:5" ht="48" customHeight="1">
      <c r="A3" s="4" t="s">
        <v>1230</v>
      </c>
      <c r="B3" s="4"/>
      <c r="C3" s="4"/>
      <c r="D3" s="4"/>
      <c r="E3" s="4"/>
    </row>
    <row r="4" spans="1:5" ht="23" customHeight="1">
      <c r="A4" s="5" t="s">
        <v>3</v>
      </c>
    </row>
    <row r="5" spans="1:5" ht="35" customHeight="1">
      <c r="A5" s="6" t="s">
        <v>1231</v>
      </c>
      <c r="B5" s="6" t="s">
        <v>1232</v>
      </c>
      <c r="C5" s="6" t="s">
        <v>1233</v>
      </c>
      <c r="D5" s="6" t="s">
        <v>1234</v>
      </c>
      <c r="E5" s="6" t="s">
        <v>8</v>
      </c>
    </row>
    <row r="6" spans="1:5" ht="44" customHeight="1">
      <c r="A6" s="7" t="s">
        <v>1235</v>
      </c>
      <c r="B6" s="1" t="s">
        <v>1236</v>
      </c>
      <c r="C6" s="1" t="s">
        <v>1237</v>
      </c>
      <c r="D6" s="1" t="s">
        <v>1238</v>
      </c>
      <c r="E6" s="1" t="s">
        <v>1239</v>
      </c>
    </row>
    <row r="7" spans="1:5" ht="44" customHeight="1">
      <c r="A7" s="8" t="s">
        <v>1240</v>
      </c>
      <c r="B7" s="9" t="s">
        <v>1241</v>
      </c>
      <c r="C7" s="9" t="s">
        <v>1242</v>
      </c>
      <c r="D7" s="9" t="s">
        <v>1243</v>
      </c>
      <c r="E7" s="9" t="s">
        <v>1244</v>
      </c>
    </row>
    <row r="8" spans="1:5" ht="58.2" customHeight="1">
      <c r="A8" s="7" t="s">
        <v>1245</v>
      </c>
      <c r="B8" s="1" t="s">
        <v>1246</v>
      </c>
      <c r="C8" s="1" t="s">
        <v>1247</v>
      </c>
      <c r="D8" s="1" t="s">
        <v>1248</v>
      </c>
      <c r="E8" s="1" t="s">
        <v>1249</v>
      </c>
    </row>
    <row r="9" spans="1:5" ht="58.2" customHeight="1">
      <c r="A9" s="8" t="s">
        <v>1250</v>
      </c>
      <c r="B9" s="9" t="s">
        <v>1251</v>
      </c>
      <c r="C9" s="9" t="s">
        <v>1252</v>
      </c>
      <c r="D9" s="9" t="s">
        <v>1253</v>
      </c>
      <c r="E9" s="9" t="s">
        <v>1208</v>
      </c>
    </row>
    <row r="10" spans="1:5" ht="58.2" customHeight="1">
      <c r="A10" s="7" t="s">
        <v>1254</v>
      </c>
      <c r="B10" s="1" t="s">
        <v>1255</v>
      </c>
      <c r="C10" s="1" t="s">
        <v>1256</v>
      </c>
      <c r="D10" s="1" t="s">
        <v>1257</v>
      </c>
      <c r="E10" s="1" t="s">
        <v>1258</v>
      </c>
    </row>
    <row r="11" spans="1:5" ht="44" customHeight="1">
      <c r="A11" s="8" t="s">
        <v>1259</v>
      </c>
      <c r="B11" s="9" t="s">
        <v>1260</v>
      </c>
      <c r="C11" s="9" t="s">
        <v>1261</v>
      </c>
      <c r="D11" s="9" t="s">
        <v>1262</v>
      </c>
      <c r="E11" s="9" t="s">
        <v>1263</v>
      </c>
    </row>
    <row r="12" spans="1:5" ht="44" customHeight="1">
      <c r="A12" s="7" t="s">
        <v>1264</v>
      </c>
      <c r="B12" s="1" t="s">
        <v>1265</v>
      </c>
      <c r="C12" s="1" t="s">
        <v>1266</v>
      </c>
      <c r="D12" s="1" t="s">
        <v>1267</v>
      </c>
      <c r="E12" s="1" t="s">
        <v>650</v>
      </c>
    </row>
    <row r="13" spans="1:5" ht="44" customHeight="1">
      <c r="A13" s="8" t="s">
        <v>1268</v>
      </c>
      <c r="B13" s="9" t="s">
        <v>1269</v>
      </c>
      <c r="C13" s="9" t="s">
        <v>1270</v>
      </c>
      <c r="D13" s="9" t="s">
        <v>1271</v>
      </c>
      <c r="E13" s="9" t="s">
        <v>1272</v>
      </c>
    </row>
    <row r="14" spans="1:5" ht="44" customHeight="1">
      <c r="A14" s="7" t="s">
        <v>1273</v>
      </c>
      <c r="B14" s="1" t="s">
        <v>1274</v>
      </c>
      <c r="C14" s="1" t="s">
        <v>1275</v>
      </c>
      <c r="D14" s="1" t="s">
        <v>1276</v>
      </c>
      <c r="E14" s="1" t="s">
        <v>1277</v>
      </c>
    </row>
    <row r="15" spans="1:5" ht="44" customHeight="1">
      <c r="A15" s="8" t="s">
        <v>1278</v>
      </c>
      <c r="B15" s="9" t="s">
        <v>1279</v>
      </c>
      <c r="C15" s="9" t="s">
        <v>1280</v>
      </c>
      <c r="D15" s="9" t="s">
        <v>1281</v>
      </c>
      <c r="E15" s="9" t="s">
        <v>1282</v>
      </c>
    </row>
    <row r="16" spans="1:5" ht="44" customHeight="1">
      <c r="A16" s="7" t="s">
        <v>1283</v>
      </c>
      <c r="B16" s="1" t="s">
        <v>1284</v>
      </c>
      <c r="C16" s="1" t="s">
        <v>1285</v>
      </c>
      <c r="D16" s="1" t="s">
        <v>1286</v>
      </c>
      <c r="E16" s="1" t="s">
        <v>906</v>
      </c>
    </row>
    <row r="17" spans="1:5" ht="58.2" customHeight="1">
      <c r="A17" s="8" t="s">
        <v>1287</v>
      </c>
      <c r="B17" s="9" t="s">
        <v>1288</v>
      </c>
      <c r="C17" s="9" t="s">
        <v>1289</v>
      </c>
      <c r="D17" s="9" t="s">
        <v>1290</v>
      </c>
      <c r="E17" s="9" t="s">
        <v>1291</v>
      </c>
    </row>
    <row r="18" spans="1:5" ht="44" customHeight="1">
      <c r="A18" s="7" t="s">
        <v>1292</v>
      </c>
      <c r="B18" s="1" t="s">
        <v>1293</v>
      </c>
      <c r="C18" s="1" t="s">
        <v>1294</v>
      </c>
      <c r="D18" s="1" t="s">
        <v>1295</v>
      </c>
      <c r="E18" s="1" t="s">
        <v>177</v>
      </c>
    </row>
    <row r="19" spans="1:5" ht="44" customHeight="1">
      <c r="A19" s="8" t="s">
        <v>1296</v>
      </c>
      <c r="B19" s="9" t="s">
        <v>1297</v>
      </c>
      <c r="C19" s="9" t="s">
        <v>1298</v>
      </c>
      <c r="D19" s="9" t="s">
        <v>1299</v>
      </c>
      <c r="E19" s="9" t="s">
        <v>197</v>
      </c>
    </row>
    <row r="20" spans="1:5" ht="44" customHeight="1">
      <c r="A20" s="7" t="s">
        <v>1300</v>
      </c>
      <c r="B20" s="1" t="s">
        <v>1301</v>
      </c>
      <c r="C20" s="1" t="s">
        <v>1302</v>
      </c>
      <c r="D20" s="1" t="s">
        <v>1303</v>
      </c>
      <c r="E20" s="1" t="s">
        <v>1304</v>
      </c>
    </row>
  </sheetData>
  <autoFilter ref="A5:E20"/>
  <mergeCells count="3">
    <mergeCell ref="A1:E1"/>
    <mergeCell ref="A2:E2"/>
    <mergeCell ref="A3:E3"/>
  </mergeCells>
  <hyperlinks>
    <hyperlink ref="A4" location="'00_案内'!A1" display="← 目次"/>
    <hyperlink ref="E6" location="'22_出典'!A6" display="S01 S05 S53"/>
    <hyperlink ref="E7" location="'22_出典'!A6" display="S01 S05 S42"/>
    <hyperlink ref="E8" location="'22_出典'!A6" display="S01 S42 S43"/>
    <hyperlink ref="E9" location="'22_出典'!A41" display="S36 S56"/>
    <hyperlink ref="E10" location="'22_出典'!A6" display="S01 S19 S21"/>
    <hyperlink ref="E11" location="'22_出典'!A9" display="S04 S40 S45"/>
    <hyperlink ref="E12" location="'22_出典'!A53" display="S48 S53"/>
    <hyperlink ref="E13" location="'22_出典'!A25" display="S20 S50"/>
    <hyperlink ref="E14" location="'22_出典'!A58" display="S53 S54 S57"/>
    <hyperlink ref="E15" location="'22_出典'!A38" display="S33 S36 S48"/>
    <hyperlink ref="E16" location="'22_出典'!A6" display="S01 S60"/>
    <hyperlink ref="E17" location="'22_出典'!A18" display="S13 S82"/>
    <hyperlink ref="E18" location="'22_出典'!A43" display="S38 S39"/>
    <hyperlink ref="E19" location="'22_出典'!A24" display="S19 S22"/>
    <hyperlink ref="E20" location="'22_出典'!A8" display="S03 S57 S60"/>
  </hyperlinks>
  <pageMargins left="0.28" right="0.28" top="0.4" bottom="0.4" header="0.3" footer="0.3"/>
  <pageSetup paperSize="8" fitToHeight="0" orientation="landscape"/>
  <headerFooter>
    <oddHeader>&amp;L&amp;"Meiryo UI,Regular"&amp;9 AWS / JMeter / EAP 8.1 &amp;R2026-10-02</oddHeader>
    <oddFooter>&amp;L&amp;"Meiryo UI,Regular"&amp;8 公式資料の確認日を基準に記述　&amp;R&amp;P / &amp;N</oddFooter>
  </headerFooter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777777"/>
    <pageSetUpPr fitToPage="1"/>
  </sheetPr>
  <dimension ref="A1:E29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2" customHeight="1"/>
  <cols>
    <col min="1" max="1" width="15.7109375" style="1" customWidth="1"/>
    <col min="2" max="2" width="50.7109375" style="1" customWidth="1"/>
    <col min="3" max="3" width="39.7109375" style="1" customWidth="1"/>
    <col min="4" max="4" width="15.7109375" style="1" customWidth="1"/>
    <col min="5" max="5" width="52.7109375" style="1" customWidth="1"/>
  </cols>
  <sheetData>
    <row r="1" spans="1:5" ht="47" customHeight="1">
      <c r="A1" s="2" t="s">
        <v>1491</v>
      </c>
      <c r="B1" s="2"/>
      <c r="C1" s="2"/>
      <c r="D1" s="2"/>
      <c r="E1" s="2"/>
    </row>
    <row r="2" spans="1:5" ht="25" customHeight="1">
      <c r="A2" s="3" t="s">
        <v>1</v>
      </c>
      <c r="B2" s="3"/>
      <c r="C2" s="3"/>
      <c r="D2" s="3"/>
      <c r="E2" s="3"/>
    </row>
    <row r="3" spans="1:5" ht="48" customHeight="1">
      <c r="A3" s="4" t="s">
        <v>1492</v>
      </c>
      <c r="B3" s="4"/>
      <c r="C3" s="4"/>
      <c r="D3" s="4"/>
      <c r="E3" s="4"/>
    </row>
    <row r="4" spans="1:5" ht="23" customHeight="1">
      <c r="A4" s="5" t="s">
        <v>3</v>
      </c>
    </row>
    <row r="5" spans="1:5" ht="22" customHeight="1">
      <c r="A5" s="6" t="s">
        <v>1493</v>
      </c>
      <c r="B5" s="6" t="s">
        <v>1494</v>
      </c>
      <c r="C5" s="6" t="s">
        <v>1495</v>
      </c>
      <c r="D5" s="6" t="s">
        <v>1496</v>
      </c>
      <c r="E5" s="6" t="s">
        <v>1497</v>
      </c>
    </row>
    <row r="6" spans="1:5" ht="65" customHeight="1">
      <c r="A6" s="7" t="s">
        <v>1498</v>
      </c>
      <c r="B6" s="1" t="s">
        <v>1499</v>
      </c>
      <c r="C6" s="1" t="s">
        <v>1500</v>
      </c>
      <c r="D6" s="1" t="s">
        <v>1501</v>
      </c>
      <c r="E6" s="1"/>
    </row>
    <row r="7" spans="1:5" ht="65" customHeight="1">
      <c r="A7" s="8" t="s">
        <v>1498</v>
      </c>
      <c r="B7" s="9" t="s">
        <v>1502</v>
      </c>
      <c r="C7" s="9" t="s">
        <v>1503</v>
      </c>
      <c r="D7" s="9" t="s">
        <v>1501</v>
      </c>
      <c r="E7" s="9"/>
    </row>
    <row r="8" spans="1:5" ht="65" customHeight="1">
      <c r="A8" s="7" t="s">
        <v>1498</v>
      </c>
      <c r="B8" s="1" t="s">
        <v>1504</v>
      </c>
      <c r="C8" s="1" t="s">
        <v>1505</v>
      </c>
      <c r="D8" s="1" t="s">
        <v>1501</v>
      </c>
      <c r="E8" s="1"/>
    </row>
    <row r="9" spans="1:5" ht="65" customHeight="1">
      <c r="A9" s="8" t="s">
        <v>1506</v>
      </c>
      <c r="B9" s="9" t="s">
        <v>1507</v>
      </c>
      <c r="C9" s="9" t="s">
        <v>1508</v>
      </c>
      <c r="D9" s="9" t="s">
        <v>1501</v>
      </c>
      <c r="E9" s="9"/>
    </row>
    <row r="10" spans="1:5" ht="65" customHeight="1">
      <c r="A10" s="7" t="s">
        <v>1506</v>
      </c>
      <c r="B10" s="1" t="s">
        <v>1509</v>
      </c>
      <c r="C10" s="1" t="s">
        <v>1510</v>
      </c>
      <c r="D10" s="1" t="s">
        <v>1501</v>
      </c>
      <c r="E10" s="1"/>
    </row>
    <row r="11" spans="1:5" ht="65" customHeight="1">
      <c r="A11" s="8" t="s">
        <v>1511</v>
      </c>
      <c r="B11" s="9" t="s">
        <v>1512</v>
      </c>
      <c r="C11" s="9" t="s">
        <v>1513</v>
      </c>
      <c r="D11" s="9" t="s">
        <v>1501</v>
      </c>
      <c r="E11" s="9"/>
    </row>
    <row r="12" spans="1:5" ht="65" customHeight="1">
      <c r="A12" s="7" t="s">
        <v>1511</v>
      </c>
      <c r="B12" s="1" t="s">
        <v>1514</v>
      </c>
      <c r="C12" s="1" t="s">
        <v>1515</v>
      </c>
      <c r="D12" s="1" t="s">
        <v>1501</v>
      </c>
      <c r="E12" s="1"/>
    </row>
    <row r="13" spans="1:5" ht="65" customHeight="1">
      <c r="A13" s="8" t="s">
        <v>1511</v>
      </c>
      <c r="B13" s="9" t="s">
        <v>1516</v>
      </c>
      <c r="C13" s="9" t="s">
        <v>1517</v>
      </c>
      <c r="D13" s="9" t="s">
        <v>1501</v>
      </c>
      <c r="E13" s="9"/>
    </row>
    <row r="14" spans="1:5" ht="65" customHeight="1">
      <c r="A14" s="7" t="s">
        <v>1511</v>
      </c>
      <c r="B14" s="1" t="s">
        <v>1518</v>
      </c>
      <c r="C14" s="1" t="s">
        <v>1519</v>
      </c>
      <c r="D14" s="1" t="s">
        <v>1501</v>
      </c>
      <c r="E14" s="1"/>
    </row>
    <row r="15" spans="1:5" ht="65" customHeight="1">
      <c r="A15" s="8" t="s">
        <v>1511</v>
      </c>
      <c r="B15" s="9" t="s">
        <v>1520</v>
      </c>
      <c r="C15" s="9" t="s">
        <v>1521</v>
      </c>
      <c r="D15" s="9" t="s">
        <v>1501</v>
      </c>
      <c r="E15" s="9"/>
    </row>
    <row r="16" spans="1:5" ht="65" customHeight="1">
      <c r="A16" s="7" t="s">
        <v>1511</v>
      </c>
      <c r="B16" s="1" t="s">
        <v>1522</v>
      </c>
      <c r="C16" s="1" t="s">
        <v>1523</v>
      </c>
      <c r="D16" s="1" t="s">
        <v>1501</v>
      </c>
      <c r="E16" s="1"/>
    </row>
    <row r="17" spans="1:5" ht="65" customHeight="1">
      <c r="A17" s="8" t="s">
        <v>1524</v>
      </c>
      <c r="B17" s="9" t="s">
        <v>1525</v>
      </c>
      <c r="C17" s="9" t="s">
        <v>1526</v>
      </c>
      <c r="D17" s="9" t="s">
        <v>1501</v>
      </c>
      <c r="E17" s="9"/>
    </row>
    <row r="18" spans="1:5" ht="65" customHeight="1">
      <c r="A18" s="7" t="s">
        <v>1524</v>
      </c>
      <c r="B18" s="1" t="s">
        <v>1527</v>
      </c>
      <c r="C18" s="1" t="s">
        <v>1528</v>
      </c>
      <c r="D18" s="1" t="s">
        <v>1501</v>
      </c>
      <c r="E18" s="1"/>
    </row>
    <row r="19" spans="1:5" ht="65" customHeight="1">
      <c r="A19" s="8" t="s">
        <v>1529</v>
      </c>
      <c r="B19" s="9" t="s">
        <v>1530</v>
      </c>
      <c r="C19" s="9" t="s">
        <v>1531</v>
      </c>
      <c r="D19" s="9" t="s">
        <v>1501</v>
      </c>
      <c r="E19" s="9"/>
    </row>
    <row r="20" spans="1:5" ht="65" customHeight="1">
      <c r="A20" s="7" t="s">
        <v>1529</v>
      </c>
      <c r="B20" s="1" t="s">
        <v>1532</v>
      </c>
      <c r="C20" s="1" t="s">
        <v>1533</v>
      </c>
      <c r="D20" s="1" t="s">
        <v>1501</v>
      </c>
      <c r="E20" s="1"/>
    </row>
    <row r="21" spans="1:5" ht="65" customHeight="1">
      <c r="A21" s="8" t="s">
        <v>1529</v>
      </c>
      <c r="B21" s="9" t="s">
        <v>1534</v>
      </c>
      <c r="C21" s="9" t="s">
        <v>1535</v>
      </c>
      <c r="D21" s="9" t="s">
        <v>1501</v>
      </c>
      <c r="E21" s="9"/>
    </row>
    <row r="22" spans="1:5" ht="65" customHeight="1">
      <c r="A22" s="7" t="s">
        <v>1536</v>
      </c>
      <c r="B22" s="1" t="s">
        <v>1537</v>
      </c>
      <c r="C22" s="1" t="s">
        <v>1538</v>
      </c>
      <c r="D22" s="1" t="s">
        <v>1501</v>
      </c>
      <c r="E22" s="1"/>
    </row>
    <row r="23" spans="1:5" ht="65" customHeight="1">
      <c r="A23" s="8" t="s">
        <v>1536</v>
      </c>
      <c r="B23" s="9" t="s">
        <v>1539</v>
      </c>
      <c r="C23" s="9" t="s">
        <v>1540</v>
      </c>
      <c r="D23" s="9" t="s">
        <v>1501</v>
      </c>
      <c r="E23" s="9"/>
    </row>
    <row r="24" spans="1:5" ht="65" customHeight="1">
      <c r="A24" s="7" t="s">
        <v>1536</v>
      </c>
      <c r="B24" s="1" t="s">
        <v>1541</v>
      </c>
      <c r="C24" s="1" t="s">
        <v>1542</v>
      </c>
      <c r="D24" s="1" t="s">
        <v>1501</v>
      </c>
      <c r="E24" s="1"/>
    </row>
    <row r="25" spans="1:5" ht="65" customHeight="1">
      <c r="A25" s="8" t="s">
        <v>1543</v>
      </c>
      <c r="B25" s="9" t="s">
        <v>1544</v>
      </c>
      <c r="C25" s="9" t="s">
        <v>1545</v>
      </c>
      <c r="D25" s="9" t="s">
        <v>1501</v>
      </c>
      <c r="E25" s="9"/>
    </row>
    <row r="26" spans="1:5" ht="65" customHeight="1">
      <c r="A26" s="7" t="s">
        <v>1543</v>
      </c>
      <c r="B26" s="1" t="s">
        <v>1546</v>
      </c>
      <c r="C26" s="1" t="s">
        <v>1547</v>
      </c>
      <c r="D26" s="1" t="s">
        <v>1501</v>
      </c>
      <c r="E26" s="1"/>
    </row>
    <row r="27" spans="1:5" ht="65" customHeight="1">
      <c r="A27" s="8" t="s">
        <v>1548</v>
      </c>
      <c r="B27" s="9" t="s">
        <v>1549</v>
      </c>
      <c r="C27" s="9" t="s">
        <v>1550</v>
      </c>
      <c r="D27" s="9" t="s">
        <v>1501</v>
      </c>
      <c r="E27" s="9"/>
    </row>
    <row r="28" spans="1:5" ht="65" customHeight="1">
      <c r="A28" s="7" t="s">
        <v>1548</v>
      </c>
      <c r="B28" s="1" t="s">
        <v>1551</v>
      </c>
      <c r="C28" s="1" t="s">
        <v>1552</v>
      </c>
      <c r="D28" s="1" t="s">
        <v>1501</v>
      </c>
      <c r="E28" s="1"/>
    </row>
    <row r="29" spans="1:5" ht="65" customHeight="1">
      <c r="A29" s="8" t="s">
        <v>1553</v>
      </c>
      <c r="B29" s="9" t="s">
        <v>1554</v>
      </c>
      <c r="C29" s="9" t="s">
        <v>1555</v>
      </c>
      <c r="D29" s="9" t="s">
        <v>1501</v>
      </c>
      <c r="E29" s="9"/>
    </row>
  </sheetData>
  <autoFilter ref="A5:E29"/>
  <mergeCells count="3">
    <mergeCell ref="A1:E1"/>
    <mergeCell ref="A2:E2"/>
    <mergeCell ref="A3:E3"/>
  </mergeCells>
  <dataValidations count="24">
    <dataValidation type="list" allowBlank="1" showInputMessage="1" showErrorMessage="1" sqref="D6">
      <formula1>"未確認,確認済,要対応,対象外"</formula1>
    </dataValidation>
    <dataValidation type="list" allowBlank="1" showInputMessage="1" showErrorMessage="1" sqref="D7">
      <formula1>"未確認,確認済,要対応,対象外"</formula1>
    </dataValidation>
    <dataValidation type="list" allowBlank="1" showInputMessage="1" showErrorMessage="1" sqref="D8">
      <formula1>"未確認,確認済,要対応,対象外"</formula1>
    </dataValidation>
    <dataValidation type="list" allowBlank="1" showInputMessage="1" showErrorMessage="1" sqref="D9">
      <formula1>"未確認,確認済,要対応,対象外"</formula1>
    </dataValidation>
    <dataValidation type="list" allowBlank="1" showInputMessage="1" showErrorMessage="1" sqref="D10">
      <formula1>"未確認,確認済,要対応,対象外"</formula1>
    </dataValidation>
    <dataValidation type="list" allowBlank="1" showInputMessage="1" showErrorMessage="1" sqref="D11">
      <formula1>"未確認,確認済,要対応,対象外"</formula1>
    </dataValidation>
    <dataValidation type="list" allowBlank="1" showInputMessage="1" showErrorMessage="1" sqref="D12">
      <formula1>"未確認,確認済,要対応,対象外"</formula1>
    </dataValidation>
    <dataValidation type="list" allowBlank="1" showInputMessage="1" showErrorMessage="1" sqref="D13">
      <formula1>"未確認,確認済,要対応,対象外"</formula1>
    </dataValidation>
    <dataValidation type="list" allowBlank="1" showInputMessage="1" showErrorMessage="1" sqref="D14">
      <formula1>"未確認,確認済,要対応,対象外"</formula1>
    </dataValidation>
    <dataValidation type="list" allowBlank="1" showInputMessage="1" showErrorMessage="1" sqref="D15">
      <formula1>"未確認,確認済,要対応,対象外"</formula1>
    </dataValidation>
    <dataValidation type="list" allowBlank="1" showInputMessage="1" showErrorMessage="1" sqref="D16">
      <formula1>"未確認,確認済,要対応,対象外"</formula1>
    </dataValidation>
    <dataValidation type="list" allowBlank="1" showInputMessage="1" showErrorMessage="1" sqref="D17">
      <formula1>"未確認,確認済,要対応,対象外"</formula1>
    </dataValidation>
    <dataValidation type="list" allowBlank="1" showInputMessage="1" showErrorMessage="1" sqref="D18">
      <formula1>"未確認,確認済,要対応,対象外"</formula1>
    </dataValidation>
    <dataValidation type="list" allowBlank="1" showInputMessage="1" showErrorMessage="1" sqref="D19">
      <formula1>"未確認,確認済,要対応,対象外"</formula1>
    </dataValidation>
    <dataValidation type="list" allowBlank="1" showInputMessage="1" showErrorMessage="1" sqref="D20">
      <formula1>"未確認,確認済,要対応,対象外"</formula1>
    </dataValidation>
    <dataValidation type="list" allowBlank="1" showInputMessage="1" showErrorMessage="1" sqref="D21">
      <formula1>"未確認,確認済,要対応,対象外"</formula1>
    </dataValidation>
    <dataValidation type="list" allowBlank="1" showInputMessage="1" showErrorMessage="1" sqref="D22">
      <formula1>"未確認,確認済,要対応,対象外"</formula1>
    </dataValidation>
    <dataValidation type="list" allowBlank="1" showInputMessage="1" showErrorMessage="1" sqref="D23">
      <formula1>"未確認,確認済,要対応,対象外"</formula1>
    </dataValidation>
    <dataValidation type="list" allowBlank="1" showInputMessage="1" showErrorMessage="1" sqref="D24">
      <formula1>"未確認,確認済,要対応,対象外"</formula1>
    </dataValidation>
    <dataValidation type="list" allowBlank="1" showInputMessage="1" showErrorMessage="1" sqref="D25">
      <formula1>"未確認,確認済,要対応,対象外"</formula1>
    </dataValidation>
    <dataValidation type="list" allowBlank="1" showInputMessage="1" showErrorMessage="1" sqref="D26">
      <formula1>"未確認,確認済,要対応,対象外"</formula1>
    </dataValidation>
    <dataValidation type="list" allowBlank="1" showInputMessage="1" showErrorMessage="1" sqref="D27">
      <formula1>"未確認,確認済,要対応,対象外"</formula1>
    </dataValidation>
    <dataValidation type="list" allowBlank="1" showInputMessage="1" showErrorMessage="1" sqref="D28">
      <formula1>"未確認,確認済,要対応,対象外"</formula1>
    </dataValidation>
    <dataValidation type="list" allowBlank="1" showInputMessage="1" showErrorMessage="1" sqref="D29">
      <formula1>"未確認,確認済,要対応,対象外"</formula1>
    </dataValidation>
  </dataValidations>
  <hyperlinks>
    <hyperlink ref="A4" location="'00_案内'!A1" display="← 目次"/>
  </hyperlinks>
  <pageMargins left="0.28" right="0.28" top="0.4" bottom="0.4" header="0.3" footer="0.3"/>
  <pageSetup paperSize="8" fitToHeight="0" orientation="landscape"/>
  <headerFooter>
    <oddHeader>&amp;L&amp;"Meiryo UI,Regular"&amp;9 AWS / JMeter / EAP 8.1 &amp;R2026-10-02</oddHeader>
    <oddFooter>&amp;L&amp;"Meiryo UI,Regular"&amp;8 公式資料の確認日を基準に記述　&amp;R&amp;P /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rgb="FF777777"/>
    <pageSetUpPr fitToPage="1"/>
  </sheetPr>
  <dimension ref="A1:E88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2" customHeight="1"/>
  <cols>
    <col min="1" max="1" width="10.7109375" style="1" customWidth="1"/>
    <col min="2" max="2" width="37.7109375" style="1" customWidth="1"/>
    <col min="3" max="3" width="48.7109375" style="1" customWidth="1"/>
    <col min="4" max="4" width="63.7109375" style="1" customWidth="1"/>
    <col min="5" max="5" width="16.7109375" style="1" customWidth="1"/>
  </cols>
  <sheetData>
    <row r="1" spans="1:5" ht="47" customHeight="1">
      <c r="A1" s="2" t="s">
        <v>1556</v>
      </c>
      <c r="B1" s="2"/>
      <c r="C1" s="2"/>
      <c r="D1" s="2"/>
      <c r="E1" s="2"/>
    </row>
    <row r="2" spans="1:5" ht="25" customHeight="1">
      <c r="A2" s="3" t="s">
        <v>1</v>
      </c>
      <c r="B2" s="3"/>
      <c r="C2" s="3"/>
      <c r="D2" s="3"/>
      <c r="E2" s="3"/>
    </row>
    <row r="3" spans="1:5" ht="48" customHeight="1">
      <c r="A3" s="4" t="s">
        <v>1557</v>
      </c>
      <c r="B3" s="4"/>
      <c r="C3" s="4"/>
      <c r="D3" s="4"/>
      <c r="E3" s="4"/>
    </row>
    <row r="4" spans="1:5" ht="23" customHeight="1">
      <c r="A4" s="5" t="s">
        <v>3</v>
      </c>
    </row>
    <row r="5" spans="1:5" ht="22" customHeight="1">
      <c r="A5" s="6" t="s">
        <v>1558</v>
      </c>
      <c r="B5" s="6" t="s">
        <v>1559</v>
      </c>
      <c r="C5" s="6" t="s">
        <v>1560</v>
      </c>
      <c r="D5" s="6" t="s">
        <v>1561</v>
      </c>
      <c r="E5" s="6" t="s">
        <v>1562</v>
      </c>
    </row>
    <row r="6" spans="1:5" ht="64" customHeight="1">
      <c r="A6" s="7" t="s">
        <v>540</v>
      </c>
      <c r="B6" s="1" t="s">
        <v>1563</v>
      </c>
      <c r="C6" s="1" t="s">
        <v>1564</v>
      </c>
      <c r="D6" s="1" t="s">
        <v>1565</v>
      </c>
      <c r="E6" s="1" t="s">
        <v>1566</v>
      </c>
    </row>
    <row r="7" spans="1:5" ht="64" customHeight="1">
      <c r="A7" s="8" t="s">
        <v>1567</v>
      </c>
      <c r="B7" s="9" t="s">
        <v>1568</v>
      </c>
      <c r="C7" s="9" t="s">
        <v>1569</v>
      </c>
      <c r="D7" s="9" t="s">
        <v>1570</v>
      </c>
      <c r="E7" s="9" t="s">
        <v>1566</v>
      </c>
    </row>
    <row r="8" spans="1:5" ht="64" customHeight="1">
      <c r="A8" s="7" t="s">
        <v>790</v>
      </c>
      <c r="B8" s="1" t="s">
        <v>1571</v>
      </c>
      <c r="C8" s="1" t="s">
        <v>1572</v>
      </c>
      <c r="D8" s="1" t="s">
        <v>1573</v>
      </c>
      <c r="E8" s="1" t="s">
        <v>1566</v>
      </c>
    </row>
    <row r="9" spans="1:5" ht="64" customHeight="1">
      <c r="A9" s="8" t="s">
        <v>1574</v>
      </c>
      <c r="B9" s="9" t="s">
        <v>1575</v>
      </c>
      <c r="C9" s="9" t="s">
        <v>1576</v>
      </c>
      <c r="D9" s="9" t="s">
        <v>1577</v>
      </c>
      <c r="E9" s="9" t="s">
        <v>1566</v>
      </c>
    </row>
    <row r="10" spans="1:5" ht="64" customHeight="1">
      <c r="A10" s="7" t="s">
        <v>380</v>
      </c>
      <c r="B10" s="1" t="s">
        <v>1578</v>
      </c>
      <c r="C10" s="1" t="s">
        <v>1579</v>
      </c>
      <c r="D10" s="1" t="s">
        <v>1580</v>
      </c>
      <c r="E10" s="1" t="s">
        <v>1566</v>
      </c>
    </row>
    <row r="11" spans="1:5" ht="64" customHeight="1">
      <c r="A11" s="8" t="s">
        <v>1581</v>
      </c>
      <c r="B11" s="9" t="s">
        <v>1582</v>
      </c>
      <c r="C11" s="9" t="s">
        <v>1583</v>
      </c>
      <c r="D11" s="9" t="s">
        <v>1584</v>
      </c>
      <c r="E11" s="9" t="s">
        <v>1566</v>
      </c>
    </row>
    <row r="12" spans="1:5" ht="64" customHeight="1">
      <c r="A12" s="7" t="s">
        <v>368</v>
      </c>
      <c r="B12" s="1" t="s">
        <v>1585</v>
      </c>
      <c r="C12" s="1" t="s">
        <v>1586</v>
      </c>
      <c r="D12" s="1" t="s">
        <v>1587</v>
      </c>
      <c r="E12" s="1" t="s">
        <v>1566</v>
      </c>
    </row>
    <row r="13" spans="1:5" ht="64" customHeight="1">
      <c r="A13" s="8" t="s">
        <v>1588</v>
      </c>
      <c r="B13" s="9" t="s">
        <v>1589</v>
      </c>
      <c r="C13" s="9" t="s">
        <v>1590</v>
      </c>
      <c r="D13" s="9" t="s">
        <v>1591</v>
      </c>
      <c r="E13" s="9" t="s">
        <v>1566</v>
      </c>
    </row>
    <row r="14" spans="1:5" ht="64" customHeight="1">
      <c r="A14" s="7" t="s">
        <v>172</v>
      </c>
      <c r="B14" s="1" t="s">
        <v>1592</v>
      </c>
      <c r="C14" s="1" t="s">
        <v>1593</v>
      </c>
      <c r="D14" s="1" t="s">
        <v>1594</v>
      </c>
      <c r="E14" s="1" t="s">
        <v>1566</v>
      </c>
    </row>
    <row r="15" spans="1:5" ht="64" customHeight="1">
      <c r="A15" s="8" t="s">
        <v>284</v>
      </c>
      <c r="B15" s="9" t="s">
        <v>1595</v>
      </c>
      <c r="C15" s="9" t="s">
        <v>1596</v>
      </c>
      <c r="D15" s="9" t="s">
        <v>1597</v>
      </c>
      <c r="E15" s="9" t="s">
        <v>1566</v>
      </c>
    </row>
    <row r="16" spans="1:5" ht="64" customHeight="1">
      <c r="A16" s="7" t="s">
        <v>318</v>
      </c>
      <c r="B16" s="1" t="s">
        <v>1598</v>
      </c>
      <c r="C16" s="1" t="s">
        <v>1599</v>
      </c>
      <c r="D16" s="1" t="s">
        <v>1600</v>
      </c>
      <c r="E16" s="1" t="s">
        <v>1566</v>
      </c>
    </row>
    <row r="17" spans="1:5" ht="64" customHeight="1">
      <c r="A17" s="8" t="s">
        <v>1601</v>
      </c>
      <c r="B17" s="9" t="s">
        <v>1602</v>
      </c>
      <c r="C17" s="9" t="s">
        <v>1603</v>
      </c>
      <c r="D17" s="9" t="s">
        <v>1604</v>
      </c>
      <c r="E17" s="9" t="s">
        <v>1566</v>
      </c>
    </row>
    <row r="18" spans="1:5" ht="64" customHeight="1">
      <c r="A18" s="7" t="s">
        <v>1605</v>
      </c>
      <c r="B18" s="1" t="s">
        <v>1606</v>
      </c>
      <c r="C18" s="1" t="s">
        <v>1607</v>
      </c>
      <c r="D18" s="1" t="s">
        <v>1608</v>
      </c>
      <c r="E18" s="1" t="s">
        <v>1566</v>
      </c>
    </row>
    <row r="19" spans="1:5" ht="64" customHeight="1">
      <c r="A19" s="8" t="s">
        <v>324</v>
      </c>
      <c r="B19" s="9" t="s">
        <v>1609</v>
      </c>
      <c r="C19" s="9" t="s">
        <v>1610</v>
      </c>
      <c r="D19" s="9" t="s">
        <v>1611</v>
      </c>
      <c r="E19" s="9" t="s">
        <v>1566</v>
      </c>
    </row>
    <row r="20" spans="1:5" ht="64" customHeight="1">
      <c r="A20" s="7" t="s">
        <v>1612</v>
      </c>
      <c r="B20" s="1" t="s">
        <v>1613</v>
      </c>
      <c r="C20" s="1" t="s">
        <v>1614</v>
      </c>
      <c r="D20" s="1" t="s">
        <v>1615</v>
      </c>
      <c r="E20" s="1" t="s">
        <v>1566</v>
      </c>
    </row>
    <row r="21" spans="1:5" ht="64" customHeight="1">
      <c r="A21" s="8" t="s">
        <v>1616</v>
      </c>
      <c r="B21" s="9" t="s">
        <v>1617</v>
      </c>
      <c r="C21" s="9" t="s">
        <v>1618</v>
      </c>
      <c r="D21" s="9" t="s">
        <v>1619</v>
      </c>
      <c r="E21" s="9" t="s">
        <v>1566</v>
      </c>
    </row>
    <row r="22" spans="1:5" ht="64" customHeight="1">
      <c r="A22" s="7" t="s">
        <v>448</v>
      </c>
      <c r="B22" s="1" t="s">
        <v>1620</v>
      </c>
      <c r="C22" s="1" t="s">
        <v>1621</v>
      </c>
      <c r="D22" s="1" t="s">
        <v>1622</v>
      </c>
      <c r="E22" s="1" t="s">
        <v>1566</v>
      </c>
    </row>
    <row r="23" spans="1:5" ht="64" customHeight="1">
      <c r="A23" s="8" t="s">
        <v>475</v>
      </c>
      <c r="B23" s="9" t="s">
        <v>1623</v>
      </c>
      <c r="C23" s="9" t="s">
        <v>1624</v>
      </c>
      <c r="D23" s="9" t="s">
        <v>1625</v>
      </c>
      <c r="E23" s="9" t="s">
        <v>1566</v>
      </c>
    </row>
    <row r="24" spans="1:5" ht="64" customHeight="1">
      <c r="A24" s="7" t="s">
        <v>1626</v>
      </c>
      <c r="B24" s="1" t="s">
        <v>1627</v>
      </c>
      <c r="C24" s="1" t="s">
        <v>1628</v>
      </c>
      <c r="D24" s="1" t="s">
        <v>1629</v>
      </c>
      <c r="E24" s="1" t="s">
        <v>1566</v>
      </c>
    </row>
    <row r="25" spans="1:5" ht="64" customHeight="1">
      <c r="A25" s="8" t="s">
        <v>1630</v>
      </c>
      <c r="B25" s="9" t="s">
        <v>1631</v>
      </c>
      <c r="C25" s="9" t="s">
        <v>1632</v>
      </c>
      <c r="D25" s="9" t="s">
        <v>1633</v>
      </c>
      <c r="E25" s="9" t="s">
        <v>1566</v>
      </c>
    </row>
    <row r="26" spans="1:5" ht="64" customHeight="1">
      <c r="A26" s="7" t="s">
        <v>238</v>
      </c>
      <c r="B26" s="1" t="s">
        <v>1634</v>
      </c>
      <c r="C26" s="1" t="s">
        <v>1635</v>
      </c>
      <c r="D26" s="1" t="s">
        <v>1636</v>
      </c>
      <c r="E26" s="1" t="s">
        <v>1566</v>
      </c>
    </row>
    <row r="27" spans="1:5" ht="64" customHeight="1">
      <c r="A27" s="8" t="s">
        <v>1637</v>
      </c>
      <c r="B27" s="9" t="s">
        <v>1638</v>
      </c>
      <c r="C27" s="9" t="s">
        <v>1639</v>
      </c>
      <c r="D27" s="9" t="s">
        <v>1640</v>
      </c>
      <c r="E27" s="9" t="s">
        <v>1566</v>
      </c>
    </row>
    <row r="28" spans="1:5" ht="64" customHeight="1">
      <c r="A28" s="7" t="s">
        <v>481</v>
      </c>
      <c r="B28" s="1" t="s">
        <v>1641</v>
      </c>
      <c r="C28" s="1" t="s">
        <v>1642</v>
      </c>
      <c r="D28" s="1" t="s">
        <v>1643</v>
      </c>
      <c r="E28" s="1" t="s">
        <v>1566</v>
      </c>
    </row>
    <row r="29" spans="1:5" ht="64" customHeight="1">
      <c r="A29" s="8" t="s">
        <v>486</v>
      </c>
      <c r="B29" s="9" t="s">
        <v>1644</v>
      </c>
      <c r="C29" s="9" t="s">
        <v>1645</v>
      </c>
      <c r="D29" s="9" t="s">
        <v>1646</v>
      </c>
      <c r="E29" s="9" t="s">
        <v>1566</v>
      </c>
    </row>
    <row r="30" spans="1:5" ht="64" customHeight="1">
      <c r="A30" s="7" t="s">
        <v>346</v>
      </c>
      <c r="B30" s="1" t="s">
        <v>1647</v>
      </c>
      <c r="C30" s="1" t="s">
        <v>1648</v>
      </c>
      <c r="D30" s="1" t="s">
        <v>1649</v>
      </c>
      <c r="E30" s="1" t="s">
        <v>1566</v>
      </c>
    </row>
    <row r="31" spans="1:5" ht="64" customHeight="1">
      <c r="A31" s="8" t="s">
        <v>340</v>
      </c>
      <c r="B31" s="9" t="s">
        <v>1650</v>
      </c>
      <c r="C31" s="9" t="s">
        <v>1651</v>
      </c>
      <c r="D31" s="9" t="s">
        <v>1652</v>
      </c>
      <c r="E31" s="9" t="s">
        <v>1566</v>
      </c>
    </row>
    <row r="32" spans="1:5" ht="64" customHeight="1">
      <c r="A32" s="7" t="s">
        <v>356</v>
      </c>
      <c r="B32" s="1" t="s">
        <v>1653</v>
      </c>
      <c r="C32" s="1" t="s">
        <v>1654</v>
      </c>
      <c r="D32" s="1" t="s">
        <v>1655</v>
      </c>
      <c r="E32" s="1" t="s">
        <v>1566</v>
      </c>
    </row>
    <row r="33" spans="1:5" ht="64" customHeight="1">
      <c r="A33" s="8" t="s">
        <v>500</v>
      </c>
      <c r="B33" s="9" t="s">
        <v>1656</v>
      </c>
      <c r="C33" s="9" t="s">
        <v>1657</v>
      </c>
      <c r="D33" s="9" t="s">
        <v>1658</v>
      </c>
      <c r="E33" s="9" t="s">
        <v>1566</v>
      </c>
    </row>
    <row r="34" spans="1:5" ht="64" customHeight="1">
      <c r="A34" s="7" t="s">
        <v>509</v>
      </c>
      <c r="B34" s="1" t="s">
        <v>1659</v>
      </c>
      <c r="C34" s="1" t="s">
        <v>1660</v>
      </c>
      <c r="D34" s="1" t="s">
        <v>1661</v>
      </c>
      <c r="E34" s="1" t="s">
        <v>1566</v>
      </c>
    </row>
    <row r="35" spans="1:5" ht="64" customHeight="1">
      <c r="A35" s="8" t="s">
        <v>515</v>
      </c>
      <c r="B35" s="9" t="s">
        <v>1662</v>
      </c>
      <c r="C35" s="9" t="s">
        <v>1663</v>
      </c>
      <c r="D35" s="9" t="s">
        <v>1664</v>
      </c>
      <c r="E35" s="9" t="s">
        <v>1566</v>
      </c>
    </row>
    <row r="36" spans="1:5" ht="64" customHeight="1">
      <c r="A36" s="7" t="s">
        <v>521</v>
      </c>
      <c r="B36" s="1" t="s">
        <v>1665</v>
      </c>
      <c r="C36" s="1" t="s">
        <v>1666</v>
      </c>
      <c r="D36" s="1" t="s">
        <v>1667</v>
      </c>
      <c r="E36" s="1" t="s">
        <v>1566</v>
      </c>
    </row>
    <row r="37" spans="1:5" ht="64" customHeight="1">
      <c r="A37" s="8" t="s">
        <v>527</v>
      </c>
      <c r="B37" s="9" t="s">
        <v>1668</v>
      </c>
      <c r="C37" s="9" t="s">
        <v>1669</v>
      </c>
      <c r="D37" s="9" t="s">
        <v>1670</v>
      </c>
      <c r="E37" s="9" t="s">
        <v>1566</v>
      </c>
    </row>
    <row r="38" spans="1:5" ht="64" customHeight="1">
      <c r="A38" s="7" t="s">
        <v>18</v>
      </c>
      <c r="B38" s="1" t="s">
        <v>1671</v>
      </c>
      <c r="C38" s="1" t="s">
        <v>1672</v>
      </c>
      <c r="D38" s="1" t="s">
        <v>1673</v>
      </c>
      <c r="E38" s="1" t="s">
        <v>1566</v>
      </c>
    </row>
    <row r="39" spans="1:5" ht="64" customHeight="1">
      <c r="A39" s="8" t="s">
        <v>1674</v>
      </c>
      <c r="B39" s="9" t="s">
        <v>1675</v>
      </c>
      <c r="C39" s="9" t="s">
        <v>1676</v>
      </c>
      <c r="D39" s="9" t="s">
        <v>1677</v>
      </c>
      <c r="E39" s="9" t="s">
        <v>1566</v>
      </c>
    </row>
    <row r="40" spans="1:5" ht="64" customHeight="1">
      <c r="A40" s="7" t="s">
        <v>1678</v>
      </c>
      <c r="B40" s="1" t="s">
        <v>1679</v>
      </c>
      <c r="C40" s="1" t="s">
        <v>1680</v>
      </c>
      <c r="D40" s="1" t="s">
        <v>1681</v>
      </c>
      <c r="E40" s="1" t="s">
        <v>1566</v>
      </c>
    </row>
    <row r="41" spans="1:5" ht="64" customHeight="1">
      <c r="A41" s="8" t="s">
        <v>882</v>
      </c>
      <c r="B41" s="9" t="s">
        <v>1682</v>
      </c>
      <c r="C41" s="9" t="s">
        <v>1683</v>
      </c>
      <c r="D41" s="9" t="s">
        <v>1684</v>
      </c>
      <c r="E41" s="9" t="s">
        <v>1566</v>
      </c>
    </row>
    <row r="42" spans="1:5" ht="64" customHeight="1">
      <c r="A42" s="7" t="s">
        <v>1685</v>
      </c>
      <c r="B42" s="1" t="s">
        <v>1686</v>
      </c>
      <c r="C42" s="1" t="s">
        <v>1687</v>
      </c>
      <c r="D42" s="1" t="s">
        <v>1688</v>
      </c>
      <c r="E42" s="1" t="s">
        <v>1566</v>
      </c>
    </row>
    <row r="43" spans="1:5" ht="64" customHeight="1">
      <c r="A43" s="8" t="s">
        <v>1689</v>
      </c>
      <c r="B43" s="9" t="s">
        <v>1690</v>
      </c>
      <c r="C43" s="9" t="s">
        <v>1691</v>
      </c>
      <c r="D43" s="9" t="s">
        <v>1692</v>
      </c>
      <c r="E43" s="9" t="s">
        <v>1566</v>
      </c>
    </row>
    <row r="44" spans="1:5" ht="64" customHeight="1">
      <c r="A44" s="7" t="s">
        <v>1693</v>
      </c>
      <c r="B44" s="1" t="s">
        <v>1694</v>
      </c>
      <c r="C44" s="1" t="s">
        <v>1695</v>
      </c>
      <c r="D44" s="1" t="s">
        <v>1696</v>
      </c>
      <c r="E44" s="1" t="s">
        <v>1566</v>
      </c>
    </row>
    <row r="45" spans="1:5" ht="64" customHeight="1">
      <c r="A45" s="8" t="s">
        <v>763</v>
      </c>
      <c r="B45" s="9" t="s">
        <v>1697</v>
      </c>
      <c r="C45" s="9" t="s">
        <v>1698</v>
      </c>
      <c r="D45" s="9" t="s">
        <v>1699</v>
      </c>
      <c r="E45" s="9" t="s">
        <v>1566</v>
      </c>
    </row>
    <row r="46" spans="1:5" ht="64" customHeight="1">
      <c r="A46" s="7" t="s">
        <v>1700</v>
      </c>
      <c r="B46" s="1" t="s">
        <v>1701</v>
      </c>
      <c r="C46" s="1" t="s">
        <v>1702</v>
      </c>
      <c r="D46" s="1" t="s">
        <v>1703</v>
      </c>
      <c r="E46" s="1" t="s">
        <v>1566</v>
      </c>
    </row>
    <row r="47" spans="1:5" ht="64" customHeight="1">
      <c r="A47" s="8" t="s">
        <v>1704</v>
      </c>
      <c r="B47" s="9" t="s">
        <v>1705</v>
      </c>
      <c r="C47" s="9" t="s">
        <v>1706</v>
      </c>
      <c r="D47" s="9" t="s">
        <v>1707</v>
      </c>
      <c r="E47" s="9" t="s">
        <v>1566</v>
      </c>
    </row>
    <row r="48" spans="1:5" ht="64" customHeight="1">
      <c r="A48" s="7" t="s">
        <v>243</v>
      </c>
      <c r="B48" s="1" t="s">
        <v>1708</v>
      </c>
      <c r="C48" s="1" t="s">
        <v>1709</v>
      </c>
      <c r="D48" s="1" t="s">
        <v>1710</v>
      </c>
      <c r="E48" s="1" t="s">
        <v>1566</v>
      </c>
    </row>
    <row r="49" spans="1:5" ht="64" customHeight="1">
      <c r="A49" s="8" t="s">
        <v>1711</v>
      </c>
      <c r="B49" s="9" t="s">
        <v>1712</v>
      </c>
      <c r="C49" s="9" t="s">
        <v>1713</v>
      </c>
      <c r="D49" s="9" t="s">
        <v>1714</v>
      </c>
      <c r="E49" s="9" t="s">
        <v>1566</v>
      </c>
    </row>
    <row r="50" spans="1:5" ht="64" customHeight="1">
      <c r="A50" s="7" t="s">
        <v>1715</v>
      </c>
      <c r="B50" s="1" t="s">
        <v>1716</v>
      </c>
      <c r="C50" s="1" t="s">
        <v>1717</v>
      </c>
      <c r="D50" s="1" t="s">
        <v>1718</v>
      </c>
      <c r="E50" s="1" t="s">
        <v>1566</v>
      </c>
    </row>
    <row r="51" spans="1:5" ht="73.6" customHeight="1">
      <c r="A51" s="8" t="s">
        <v>1719</v>
      </c>
      <c r="B51" s="9" t="s">
        <v>1720</v>
      </c>
      <c r="C51" s="9" t="s">
        <v>1721</v>
      </c>
      <c r="D51" s="9" t="s">
        <v>1722</v>
      </c>
      <c r="E51" s="9" t="s">
        <v>1566</v>
      </c>
    </row>
    <row r="52" spans="1:5" ht="89" customHeight="1">
      <c r="A52" s="7" t="s">
        <v>1723</v>
      </c>
      <c r="B52" s="1" t="s">
        <v>1724</v>
      </c>
      <c r="C52" s="1" t="s">
        <v>1725</v>
      </c>
      <c r="D52" s="1" t="s">
        <v>1726</v>
      </c>
      <c r="E52" s="1" t="s">
        <v>1566</v>
      </c>
    </row>
    <row r="53" spans="1:5" ht="73.6" customHeight="1">
      <c r="A53" s="8" t="s">
        <v>659</v>
      </c>
      <c r="B53" s="9" t="s">
        <v>1727</v>
      </c>
      <c r="C53" s="9" t="s">
        <v>1728</v>
      </c>
      <c r="D53" s="9" t="s">
        <v>1729</v>
      </c>
      <c r="E53" s="9" t="s">
        <v>1566</v>
      </c>
    </row>
    <row r="54" spans="1:5" ht="89" customHeight="1">
      <c r="A54" s="7" t="s">
        <v>1730</v>
      </c>
      <c r="B54" s="1" t="s">
        <v>1731</v>
      </c>
      <c r="C54" s="1" t="s">
        <v>1732</v>
      </c>
      <c r="D54" s="1" t="s">
        <v>1733</v>
      </c>
      <c r="E54" s="1" t="s">
        <v>1566</v>
      </c>
    </row>
    <row r="55" spans="1:5" ht="64" customHeight="1">
      <c r="A55" s="8" t="s">
        <v>727</v>
      </c>
      <c r="B55" s="9" t="s">
        <v>1734</v>
      </c>
      <c r="C55" s="9" t="s">
        <v>1735</v>
      </c>
      <c r="D55" s="9" t="s">
        <v>1736</v>
      </c>
      <c r="E55" s="9" t="s">
        <v>1566</v>
      </c>
    </row>
    <row r="56" spans="1:5" ht="64" customHeight="1">
      <c r="A56" s="7" t="s">
        <v>1737</v>
      </c>
      <c r="B56" s="1" t="s">
        <v>1738</v>
      </c>
      <c r="C56" s="1" t="s">
        <v>1739</v>
      </c>
      <c r="D56" s="1" t="s">
        <v>1740</v>
      </c>
      <c r="E56" s="1" t="s">
        <v>1566</v>
      </c>
    </row>
    <row r="57" spans="1:5" ht="64" customHeight="1">
      <c r="A57" s="8" t="s">
        <v>1741</v>
      </c>
      <c r="B57" s="9" t="s">
        <v>1742</v>
      </c>
      <c r="C57" s="9" t="s">
        <v>1743</v>
      </c>
      <c r="D57" s="9" t="s">
        <v>1744</v>
      </c>
      <c r="E57" s="9" t="s">
        <v>1566</v>
      </c>
    </row>
    <row r="58" spans="1:5" ht="64" customHeight="1">
      <c r="A58" s="7" t="s">
        <v>600</v>
      </c>
      <c r="B58" s="1" t="s">
        <v>1745</v>
      </c>
      <c r="C58" s="1" t="s">
        <v>1746</v>
      </c>
      <c r="D58" s="1" t="s">
        <v>1747</v>
      </c>
      <c r="E58" s="1" t="s">
        <v>1566</v>
      </c>
    </row>
    <row r="59" spans="1:5" ht="64" customHeight="1">
      <c r="A59" s="8" t="s">
        <v>1748</v>
      </c>
      <c r="B59" s="9" t="s">
        <v>1749</v>
      </c>
      <c r="C59" s="9" t="s">
        <v>1750</v>
      </c>
      <c r="D59" s="9" t="s">
        <v>1751</v>
      </c>
      <c r="E59" s="9" t="s">
        <v>1566</v>
      </c>
    </row>
    <row r="60" spans="1:5" ht="64" customHeight="1">
      <c r="A60" s="7" t="s">
        <v>1752</v>
      </c>
      <c r="B60" s="1" t="s">
        <v>1753</v>
      </c>
      <c r="C60" s="1" t="s">
        <v>1754</v>
      </c>
      <c r="D60" s="1" t="s">
        <v>1755</v>
      </c>
      <c r="E60" s="1" t="s">
        <v>1566</v>
      </c>
    </row>
    <row r="61" spans="1:5" ht="64" customHeight="1">
      <c r="A61" s="8" t="s">
        <v>1756</v>
      </c>
      <c r="B61" s="9" t="s">
        <v>1757</v>
      </c>
      <c r="C61" s="9" t="s">
        <v>1758</v>
      </c>
      <c r="D61" s="9" t="s">
        <v>1759</v>
      </c>
      <c r="E61" s="9" t="s">
        <v>1566</v>
      </c>
    </row>
    <row r="62" spans="1:5" ht="64" customHeight="1">
      <c r="A62" s="7" t="s">
        <v>1760</v>
      </c>
      <c r="B62" s="1" t="s">
        <v>1761</v>
      </c>
      <c r="C62" s="1" t="s">
        <v>1762</v>
      </c>
      <c r="D62" s="1" t="s">
        <v>1763</v>
      </c>
      <c r="E62" s="1" t="s">
        <v>1566</v>
      </c>
    </row>
    <row r="63" spans="1:5" ht="64" customHeight="1">
      <c r="A63" s="8" t="s">
        <v>1764</v>
      </c>
      <c r="B63" s="9" t="s">
        <v>1765</v>
      </c>
      <c r="C63" s="9" t="s">
        <v>1766</v>
      </c>
      <c r="D63" s="9" t="s">
        <v>1767</v>
      </c>
      <c r="E63" s="9" t="s">
        <v>1566</v>
      </c>
    </row>
    <row r="64" spans="1:5" ht="64" customHeight="1">
      <c r="A64" s="7" t="s">
        <v>43</v>
      </c>
      <c r="B64" s="1" t="s">
        <v>1768</v>
      </c>
      <c r="C64" s="1" t="s">
        <v>1769</v>
      </c>
      <c r="D64" s="1" t="s">
        <v>1770</v>
      </c>
      <c r="E64" s="1" t="s">
        <v>1566</v>
      </c>
    </row>
    <row r="65" spans="1:5" ht="64" customHeight="1">
      <c r="A65" s="8" t="s">
        <v>922</v>
      </c>
      <c r="B65" s="9" t="s">
        <v>1771</v>
      </c>
      <c r="C65" s="9" t="s">
        <v>1772</v>
      </c>
      <c r="D65" s="9" t="s">
        <v>1773</v>
      </c>
      <c r="E65" s="9" t="s">
        <v>1566</v>
      </c>
    </row>
    <row r="66" spans="1:5" ht="64" customHeight="1">
      <c r="A66" s="7" t="s">
        <v>1774</v>
      </c>
      <c r="B66" s="1" t="s">
        <v>1775</v>
      </c>
      <c r="C66" s="1" t="s">
        <v>1776</v>
      </c>
      <c r="D66" s="1" t="s">
        <v>1777</v>
      </c>
      <c r="E66" s="1" t="s">
        <v>1566</v>
      </c>
    </row>
    <row r="67" spans="1:5" ht="64" customHeight="1">
      <c r="A67" s="8" t="s">
        <v>1778</v>
      </c>
      <c r="B67" s="9" t="s">
        <v>1779</v>
      </c>
      <c r="C67" s="9" t="s">
        <v>1780</v>
      </c>
      <c r="D67" s="9" t="s">
        <v>1781</v>
      </c>
      <c r="E67" s="9" t="s">
        <v>1566</v>
      </c>
    </row>
    <row r="68" spans="1:5" ht="64" customHeight="1">
      <c r="A68" s="7" t="s">
        <v>948</v>
      </c>
      <c r="B68" s="1" t="s">
        <v>1782</v>
      </c>
      <c r="C68" s="1" t="s">
        <v>1783</v>
      </c>
      <c r="D68" s="1" t="s">
        <v>1784</v>
      </c>
      <c r="E68" s="1" t="s">
        <v>1566</v>
      </c>
    </row>
    <row r="69" spans="1:5" ht="64" customHeight="1">
      <c r="A69" s="8" t="s">
        <v>1183</v>
      </c>
      <c r="B69" s="9" t="s">
        <v>1785</v>
      </c>
      <c r="C69" s="9" t="s">
        <v>1786</v>
      </c>
      <c r="D69" s="9" t="s">
        <v>1787</v>
      </c>
      <c r="E69" s="9" t="s">
        <v>1566</v>
      </c>
    </row>
    <row r="70" spans="1:5" ht="64" customHeight="1">
      <c r="A70" s="7" t="s">
        <v>98</v>
      </c>
      <c r="B70" s="1" t="s">
        <v>1788</v>
      </c>
      <c r="C70" s="1" t="s">
        <v>1789</v>
      </c>
      <c r="D70" s="1" t="s">
        <v>1790</v>
      </c>
      <c r="E70" s="1" t="s">
        <v>1566</v>
      </c>
    </row>
    <row r="71" spans="1:5" ht="64" customHeight="1">
      <c r="A71" s="8" t="s">
        <v>103</v>
      </c>
      <c r="B71" s="9" t="s">
        <v>1791</v>
      </c>
      <c r="C71" s="9" t="s">
        <v>99</v>
      </c>
      <c r="D71" s="9" t="s">
        <v>1792</v>
      </c>
      <c r="E71" s="9" t="s">
        <v>1566</v>
      </c>
    </row>
    <row r="72" spans="1:5" ht="64" customHeight="1">
      <c r="A72" s="7" t="s">
        <v>108</v>
      </c>
      <c r="B72" s="1" t="s">
        <v>1793</v>
      </c>
      <c r="C72" s="1" t="s">
        <v>104</v>
      </c>
      <c r="D72" s="1" t="s">
        <v>1794</v>
      </c>
      <c r="E72" s="1" t="s">
        <v>1566</v>
      </c>
    </row>
    <row r="73" spans="1:5" ht="64" customHeight="1">
      <c r="A73" s="8" t="s">
        <v>113</v>
      </c>
      <c r="B73" s="9" t="s">
        <v>1795</v>
      </c>
      <c r="C73" s="9" t="s">
        <v>109</v>
      </c>
      <c r="D73" s="9" t="s">
        <v>1796</v>
      </c>
      <c r="E73" s="9" t="s">
        <v>1566</v>
      </c>
    </row>
    <row r="74" spans="1:5" ht="73.6" customHeight="1">
      <c r="A74" s="7" t="s">
        <v>1797</v>
      </c>
      <c r="B74" s="1" t="s">
        <v>1798</v>
      </c>
      <c r="C74" s="1" t="s">
        <v>114</v>
      </c>
      <c r="D74" s="1" t="s">
        <v>1799</v>
      </c>
      <c r="E74" s="1" t="s">
        <v>1566</v>
      </c>
    </row>
    <row r="75" spans="1:5" ht="64" customHeight="1">
      <c r="A75" s="8" t="s">
        <v>123</v>
      </c>
      <c r="B75" s="9" t="s">
        <v>120</v>
      </c>
      <c r="C75" s="9" t="s">
        <v>119</v>
      </c>
      <c r="D75" s="9" t="s">
        <v>1800</v>
      </c>
      <c r="E75" s="9" t="s">
        <v>1566</v>
      </c>
    </row>
    <row r="76" spans="1:5" ht="64" customHeight="1">
      <c r="A76" s="7" t="s">
        <v>133</v>
      </c>
      <c r="B76" s="1" t="s">
        <v>130</v>
      </c>
      <c r="C76" s="1" t="s">
        <v>129</v>
      </c>
      <c r="D76" s="1" t="s">
        <v>1801</v>
      </c>
      <c r="E76" s="1" t="s">
        <v>1566</v>
      </c>
    </row>
    <row r="77" spans="1:5" ht="64" customHeight="1">
      <c r="A77" s="8" t="s">
        <v>128</v>
      </c>
      <c r="B77" s="9" t="s">
        <v>1802</v>
      </c>
      <c r="C77" s="9" t="s">
        <v>1803</v>
      </c>
      <c r="D77" s="9" t="s">
        <v>1804</v>
      </c>
      <c r="E77" s="9" t="s">
        <v>1566</v>
      </c>
    </row>
    <row r="78" spans="1:5" ht="64" customHeight="1">
      <c r="A78" s="7" t="s">
        <v>138</v>
      </c>
      <c r="B78" s="1" t="s">
        <v>1805</v>
      </c>
      <c r="C78" s="1" t="s">
        <v>134</v>
      </c>
      <c r="D78" s="1" t="s">
        <v>1806</v>
      </c>
      <c r="E78" s="1" t="s">
        <v>1566</v>
      </c>
    </row>
    <row r="79" spans="1:5" ht="64" customHeight="1">
      <c r="A79" s="8" t="s">
        <v>143</v>
      </c>
      <c r="B79" s="9" t="s">
        <v>140</v>
      </c>
      <c r="C79" s="9" t="s">
        <v>139</v>
      </c>
      <c r="D79" s="9" t="s">
        <v>1807</v>
      </c>
      <c r="E79" s="9" t="s">
        <v>1566</v>
      </c>
    </row>
    <row r="80" spans="1:5" ht="64" customHeight="1">
      <c r="A80" s="7" t="s">
        <v>248</v>
      </c>
      <c r="B80" s="1" t="s">
        <v>1808</v>
      </c>
      <c r="C80" s="1" t="s">
        <v>1809</v>
      </c>
      <c r="D80" s="1" t="s">
        <v>1810</v>
      </c>
      <c r="E80" s="1" t="s">
        <v>1566</v>
      </c>
    </row>
    <row r="81" spans="1:5" ht="64" customHeight="1">
      <c r="A81" s="8" t="s">
        <v>1811</v>
      </c>
      <c r="B81" s="9" t="s">
        <v>1812</v>
      </c>
      <c r="C81" s="9" t="s">
        <v>1813</v>
      </c>
      <c r="D81" s="9" t="s">
        <v>1814</v>
      </c>
      <c r="E81" s="9" t="s">
        <v>1566</v>
      </c>
    </row>
    <row r="82" spans="1:5" ht="64" customHeight="1">
      <c r="A82" s="7" t="s">
        <v>1815</v>
      </c>
      <c r="B82" s="1" t="s">
        <v>1816</v>
      </c>
      <c r="C82" s="1" t="s">
        <v>149</v>
      </c>
      <c r="D82" s="1" t="s">
        <v>1817</v>
      </c>
      <c r="E82" s="1" t="s">
        <v>1566</v>
      </c>
    </row>
    <row r="83" spans="1:5" ht="64" customHeight="1">
      <c r="A83" s="8" t="s">
        <v>87</v>
      </c>
      <c r="B83" s="9" t="s">
        <v>155</v>
      </c>
      <c r="C83" s="9" t="s">
        <v>154</v>
      </c>
      <c r="D83" s="9" t="s">
        <v>1818</v>
      </c>
      <c r="E83" s="9" t="s">
        <v>1566</v>
      </c>
    </row>
    <row r="84" spans="1:5" ht="64" customHeight="1">
      <c r="A84" s="7" t="s">
        <v>1819</v>
      </c>
      <c r="B84" s="1" t="s">
        <v>159</v>
      </c>
      <c r="C84" s="1" t="s">
        <v>158</v>
      </c>
      <c r="D84" s="1" t="s">
        <v>1820</v>
      </c>
      <c r="E84" s="1" t="s">
        <v>1566</v>
      </c>
    </row>
    <row r="85" spans="1:5" ht="64" customHeight="1">
      <c r="A85" s="8" t="s">
        <v>167</v>
      </c>
      <c r="B85" s="9" t="s">
        <v>164</v>
      </c>
      <c r="C85" s="9" t="s">
        <v>163</v>
      </c>
      <c r="D85" s="9" t="s">
        <v>1821</v>
      </c>
      <c r="E85" s="9" t="s">
        <v>1566</v>
      </c>
    </row>
    <row r="86" spans="1:5" ht="64" customHeight="1">
      <c r="A86" s="7" t="s">
        <v>1822</v>
      </c>
      <c r="B86" s="1" t="s">
        <v>1823</v>
      </c>
      <c r="C86" s="1" t="s">
        <v>1824</v>
      </c>
      <c r="D86" s="1" t="s">
        <v>1825</v>
      </c>
      <c r="E86" s="1" t="s">
        <v>1566</v>
      </c>
    </row>
    <row r="87" spans="1:5" ht="64" customHeight="1">
      <c r="A87" s="8" t="s">
        <v>1826</v>
      </c>
      <c r="B87" s="9" t="s">
        <v>1827</v>
      </c>
      <c r="C87" s="9" t="s">
        <v>1828</v>
      </c>
      <c r="D87" s="9" t="s">
        <v>1829</v>
      </c>
      <c r="E87" s="9" t="s">
        <v>1566</v>
      </c>
    </row>
    <row r="88" spans="1:5" ht="73.6" customHeight="1">
      <c r="A88" s="7" t="s">
        <v>182</v>
      </c>
      <c r="B88" s="1" t="s">
        <v>1830</v>
      </c>
      <c r="C88" s="1" t="s">
        <v>1831</v>
      </c>
      <c r="D88" s="1" t="s">
        <v>1832</v>
      </c>
      <c r="E88" s="1" t="s">
        <v>1566</v>
      </c>
    </row>
  </sheetData>
  <autoFilter ref="A5:E88"/>
  <mergeCells count="3">
    <mergeCell ref="A1:E1"/>
    <mergeCell ref="A2:E2"/>
    <mergeCell ref="A3:E3"/>
  </mergeCells>
  <hyperlinks>
    <hyperlink ref="A4" location="'00_案内'!A1" display="← 目次"/>
    <hyperlink ref="D6" r:id="rId1"/>
    <hyperlink ref="D7" r:id="rId2"/>
    <hyperlink ref="D8" r:id="rId3"/>
    <hyperlink ref="D9" r:id="rId4"/>
    <hyperlink ref="D10" r:id="rId5"/>
    <hyperlink ref="D11" r:id="rId6"/>
    <hyperlink ref="D12" r:id="rId7"/>
    <hyperlink ref="D13" r:id="rId8"/>
    <hyperlink ref="D14" r:id="rId9"/>
    <hyperlink ref="D15" r:id="rId10"/>
    <hyperlink ref="D16" r:id="rId11"/>
    <hyperlink ref="D17" r:id="rId12"/>
    <hyperlink ref="D18" r:id="rId13"/>
    <hyperlink ref="D19" r:id="rId14"/>
    <hyperlink ref="D20" r:id="rId15"/>
    <hyperlink ref="D21" r:id="rId16"/>
    <hyperlink ref="D22" r:id="rId17"/>
    <hyperlink ref="D23" r:id="rId18"/>
    <hyperlink ref="D24" r:id="rId19"/>
    <hyperlink ref="D25" r:id="rId20"/>
    <hyperlink ref="D26" r:id="rId21"/>
    <hyperlink ref="D27" r:id="rId22"/>
    <hyperlink ref="D28" r:id="rId23"/>
    <hyperlink ref="D29" r:id="rId24"/>
    <hyperlink ref="D30" r:id="rId25"/>
    <hyperlink ref="D31" r:id="rId26"/>
    <hyperlink ref="D32" r:id="rId27"/>
    <hyperlink ref="D33" r:id="rId28"/>
    <hyperlink ref="D34" r:id="rId29"/>
    <hyperlink ref="D35" r:id="rId30"/>
    <hyperlink ref="D36" r:id="rId31"/>
    <hyperlink ref="D37" r:id="rId32"/>
    <hyperlink ref="D38" r:id="rId33"/>
    <hyperlink ref="D39" r:id="rId34"/>
    <hyperlink ref="D40" r:id="rId35"/>
    <hyperlink ref="D41" r:id="rId36"/>
    <hyperlink ref="D42" r:id="rId37"/>
    <hyperlink ref="D43" r:id="rId38"/>
    <hyperlink ref="D44" r:id="rId39"/>
    <hyperlink ref="D45" r:id="rId40"/>
    <hyperlink ref="D46" r:id="rId41"/>
    <hyperlink ref="D47" r:id="rId42"/>
    <hyperlink ref="D48" r:id="rId43"/>
    <hyperlink ref="D49" r:id="rId44"/>
    <hyperlink ref="D50" r:id="rId45"/>
    <hyperlink ref="D51" r:id="rId46"/>
    <hyperlink ref="D52" r:id="rId47"/>
    <hyperlink ref="D53" r:id="rId48"/>
    <hyperlink ref="D54" r:id="rId49"/>
    <hyperlink ref="D55" r:id="rId50"/>
    <hyperlink ref="D56" r:id="rId51"/>
    <hyperlink ref="D57" r:id="rId52"/>
    <hyperlink ref="D58" r:id="rId53"/>
    <hyperlink ref="D59" r:id="rId54"/>
    <hyperlink ref="D60" r:id="rId55"/>
    <hyperlink ref="D61" r:id="rId56"/>
    <hyperlink ref="D62" r:id="rId57"/>
    <hyperlink ref="D63" r:id="rId58"/>
    <hyperlink ref="D64" r:id="rId59"/>
    <hyperlink ref="D65" r:id="rId60"/>
    <hyperlink ref="D66" r:id="rId61"/>
    <hyperlink ref="D67" r:id="rId62"/>
    <hyperlink ref="D68" r:id="rId63"/>
    <hyperlink ref="D69" r:id="rId64"/>
    <hyperlink ref="D70" r:id="rId65"/>
    <hyperlink ref="D71" r:id="rId66"/>
    <hyperlink ref="D72" r:id="rId67"/>
    <hyperlink ref="D73" r:id="rId68"/>
    <hyperlink ref="D74" r:id="rId69"/>
    <hyperlink ref="D75" r:id="rId70"/>
    <hyperlink ref="D76" r:id="rId71"/>
    <hyperlink ref="D77" r:id="rId72"/>
    <hyperlink ref="D78" r:id="rId73"/>
    <hyperlink ref="D79" r:id="rId74"/>
    <hyperlink ref="D80" r:id="rId75"/>
    <hyperlink ref="D81" r:id="rId76"/>
    <hyperlink ref="D82" r:id="rId77"/>
    <hyperlink ref="D83" r:id="rId78"/>
    <hyperlink ref="D84" r:id="rId79"/>
    <hyperlink ref="D85" r:id="rId80"/>
    <hyperlink ref="D86" r:id="rId81"/>
    <hyperlink ref="D87" r:id="rId82"/>
    <hyperlink ref="D88" r:id="rId83"/>
  </hyperlinks>
  <pageMargins left="0.28" right="0.28" top="0.4" bottom="0.4" header="0.3" footer="0.3"/>
  <pageSetup paperSize="8" fitToHeight="0" orientation="landscape"/>
  <headerFooter>
    <oddHeader>&amp;L&amp;"Meiryo UI,Regular"&amp;9 AWS / JMeter / EAP 8.1 &amp;R2026-10-02</oddHeader>
    <oddFooter>&amp;L&amp;"Meiryo UI,Regular"&amp;8 公式資料の確認日を基準に記述　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46</vt:i4>
      </vt:variant>
    </vt:vector>
  </HeadingPairs>
  <TitlesOfParts>
    <vt:vector size="69" baseType="lpstr">
      <vt:lpstr>00_案内</vt:lpstr>
      <vt:lpstr>01_図解</vt:lpstr>
      <vt:lpstr>02_基礎</vt:lpstr>
      <vt:lpstr>03_歴史</vt:lpstr>
      <vt:lpstr>04_サービス</vt:lpstr>
      <vt:lpstr>05_入口指標</vt:lpstr>
      <vt:lpstr>06_ECS指標</vt:lpstr>
      <vt:lpstr>07_DB依存指標</vt:lpstr>
      <vt:lpstr>08_JVM指標</vt:lpstr>
      <vt:lpstr>09_メモリ深掘り</vt:lpstr>
      <vt:lpstr>10_EAP内部</vt:lpstr>
      <vt:lpstr>11_収集設定</vt:lpstr>
      <vt:lpstr>12_設定例</vt:lpstr>
      <vt:lpstr>13_トレース</vt:lpstr>
      <vt:lpstr>14_JMeter</vt:lpstr>
      <vt:lpstr>15_テスト手順</vt:lpstr>
      <vt:lpstr>16_障害切分</vt:lpstr>
      <vt:lpstr>17_ダッシュボード</vt:lpstr>
      <vt:lpstr>18_例と計算</vt:lpstr>
      <vt:lpstr>19_注意と費用</vt:lpstr>
      <vt:lpstr>20_FAQ</vt:lpstr>
      <vt:lpstr>21_実行チェック</vt:lpstr>
      <vt:lpstr>22_出典</vt:lpstr>
      <vt:lpstr>'00_案内'!Print_Area</vt:lpstr>
      <vt:lpstr>'01_図解'!Print_Area</vt:lpstr>
      <vt:lpstr>'02_基礎'!Print_Area</vt:lpstr>
      <vt:lpstr>'03_歴史'!Print_Area</vt:lpstr>
      <vt:lpstr>'04_サービス'!Print_Area</vt:lpstr>
      <vt:lpstr>'05_入口指標'!Print_Area</vt:lpstr>
      <vt:lpstr>'06_ECS指標'!Print_Area</vt:lpstr>
      <vt:lpstr>'07_DB依存指標'!Print_Area</vt:lpstr>
      <vt:lpstr>'08_JVM指標'!Print_Area</vt:lpstr>
      <vt:lpstr>'09_メモリ深掘り'!Print_Area</vt:lpstr>
      <vt:lpstr>'10_EAP内部'!Print_Area</vt:lpstr>
      <vt:lpstr>'11_収集設定'!Print_Area</vt:lpstr>
      <vt:lpstr>'12_設定例'!Print_Area</vt:lpstr>
      <vt:lpstr>'13_トレース'!Print_Area</vt:lpstr>
      <vt:lpstr>'14_JMeter'!Print_Area</vt:lpstr>
      <vt:lpstr>'15_テスト手順'!Print_Area</vt:lpstr>
      <vt:lpstr>'16_障害切分'!Print_Area</vt:lpstr>
      <vt:lpstr>'17_ダッシュボード'!Print_Area</vt:lpstr>
      <vt:lpstr>'18_例と計算'!Print_Area</vt:lpstr>
      <vt:lpstr>'19_注意と費用'!Print_Area</vt:lpstr>
      <vt:lpstr>'20_FAQ'!Print_Area</vt:lpstr>
      <vt:lpstr>'21_実行チェック'!Print_Area</vt:lpstr>
      <vt:lpstr>'22_出典'!Print_Area</vt:lpstr>
      <vt:lpstr>'00_案内'!Print_Titles</vt:lpstr>
      <vt:lpstr>'01_図解'!Print_Titles</vt:lpstr>
      <vt:lpstr>'02_基礎'!Print_Titles</vt:lpstr>
      <vt:lpstr>'03_歴史'!Print_Titles</vt:lpstr>
      <vt:lpstr>'04_サービス'!Print_Titles</vt:lpstr>
      <vt:lpstr>'05_入口指標'!Print_Titles</vt:lpstr>
      <vt:lpstr>'06_ECS指標'!Print_Titles</vt:lpstr>
      <vt:lpstr>'07_DB依存指標'!Print_Titles</vt:lpstr>
      <vt:lpstr>'08_JVM指標'!Print_Titles</vt:lpstr>
      <vt:lpstr>'09_メモリ深掘り'!Print_Titles</vt:lpstr>
      <vt:lpstr>'10_EAP内部'!Print_Titles</vt:lpstr>
      <vt:lpstr>'11_収集設定'!Print_Titles</vt:lpstr>
      <vt:lpstr>'12_設定例'!Print_Titles</vt:lpstr>
      <vt:lpstr>'13_トレース'!Print_Titles</vt:lpstr>
      <vt:lpstr>'14_JMeter'!Print_Titles</vt:lpstr>
      <vt:lpstr>'15_テスト手順'!Print_Titles</vt:lpstr>
      <vt:lpstr>'16_障害切分'!Print_Titles</vt:lpstr>
      <vt:lpstr>'17_ダッシュボード'!Print_Titles</vt:lpstr>
      <vt:lpstr>'18_例と計算'!Print_Titles</vt:lpstr>
      <vt:lpstr>'19_注意と費用'!Print_Titles</vt:lpstr>
      <vt:lpstr>'20_FAQ'!Print_Titles</vt:lpstr>
      <vt:lpstr>'21_実行チェック'!Print_Titles</vt:lpstr>
      <vt:lpstr>'22_出典'!Print_Titles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JMeter × AWS 全体パフォーマンステスト 監視・分析ガイド</dc:title>
  <dc:subject>ECS Fargate / JBoss EAP 8.1 / Red Hat build of OpenJDK 21</dc:subject>
  <dc:creator>Technical Documentation</dc:creator>
  <dc:description>Official sources checked 2026-10-02. Illustrative values are not test results.</dc:description>
  <cp:lastModifiedBy>Technical Documentation</cp:lastModifiedBy>
  <dcterms:created xsi:type="dcterms:W3CDTF">2026-10-01T19:13:06Z</dcterms:created>
  <dcterms:modified xsi:type="dcterms:W3CDTF">2026-10-01T19:13:06Z</dcterms:modified>
</cp:coreProperties>
</file>